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dmin\code\nongki-skills-hub\skills\mpp-bpkp\assets\"/>
    </mc:Choice>
  </mc:AlternateContent>
  <xr:revisionPtr revIDLastSave="0" documentId="13_ncr:1_{22E4FECB-5E96-453A-9499-545798A3B9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IHP" sheetId="2" r:id="rId2"/>
    <sheet name="TEMBUSAN" sheetId="3" r:id="rId3"/>
    <sheet name="JAM_TIM" sheetId="4" r:id="rId4"/>
  </sheets>
  <definedNames>
    <definedName name="_xlnm._FilterDatabase" localSheetId="1" hidden="1">IHP!$A$4:$A$34</definedName>
    <definedName name="_xlnm._FilterDatabase" localSheetId="2" hidden="1">TEMBUSAN!$A$4:$A$34</definedName>
    <definedName name="_xlnm.Print_Area" localSheetId="0">DATA!$A$1:$D$83</definedName>
    <definedName name="_xlnm.Print_Titles" localSheetId="1">IHP!$1:$4</definedName>
    <definedName name="_xlnm.Print_Titles" localSheetId="3">JAM_TIM!$1:$4</definedName>
    <definedName name="_xlnm.Print_Titles" localSheetId="2">TEMBUSAN!$1:$4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4" l="1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H20" i="4"/>
  <c r="G20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B71" i="1"/>
  <c r="B54" i="1"/>
  <c r="B44" i="1"/>
  <c r="B40" i="1"/>
  <c r="B74" i="1" s="1"/>
  <c r="E20" i="4" l="1"/>
  <c r="F20" i="4"/>
  <c r="H27" i="4"/>
  <c r="E27" i="4"/>
  <c r="F27" i="4"/>
  <c r="G27" i="4"/>
  <c r="E26" i="4"/>
  <c r="F26" i="4"/>
  <c r="G26" i="4"/>
  <c r="H26" i="4"/>
  <c r="H25" i="4"/>
  <c r="F25" i="4"/>
  <c r="G25" i="4"/>
  <c r="E25" i="4"/>
  <c r="E24" i="4"/>
  <c r="F24" i="4"/>
  <c r="G24" i="4"/>
  <c r="H24" i="4"/>
  <c r="H23" i="4"/>
  <c r="E23" i="4"/>
  <c r="F23" i="4"/>
  <c r="G23" i="4"/>
  <c r="E22" i="4"/>
  <c r="F22" i="4"/>
  <c r="G22" i="4"/>
  <c r="H22" i="4"/>
  <c r="G21" i="4"/>
  <c r="H21" i="4"/>
  <c r="E21" i="4"/>
  <c r="F21" i="4"/>
  <c r="H19" i="4"/>
  <c r="G19" i="4"/>
  <c r="F19" i="4"/>
  <c r="E19" i="4"/>
  <c r="H18" i="4"/>
  <c r="G18" i="4"/>
  <c r="F18" i="4"/>
  <c r="E18" i="4"/>
  <c r="H17" i="4"/>
  <c r="G17" i="4"/>
  <c r="E17" i="4"/>
  <c r="F17" i="4"/>
  <c r="H16" i="4"/>
  <c r="G16" i="4"/>
  <c r="F16" i="4"/>
  <c r="E16" i="4"/>
  <c r="H15" i="4"/>
  <c r="G15" i="4"/>
  <c r="F15" i="4"/>
  <c r="E15" i="4"/>
  <c r="F14" i="4"/>
  <c r="E14" i="4"/>
  <c r="G14" i="4"/>
  <c r="H14" i="4"/>
  <c r="H13" i="4"/>
  <c r="G13" i="4"/>
  <c r="F13" i="4"/>
  <c r="E13" i="4"/>
  <c r="H12" i="4"/>
  <c r="F12" i="4"/>
  <c r="E12" i="4"/>
  <c r="G12" i="4"/>
  <c r="H11" i="4"/>
  <c r="G11" i="4"/>
  <c r="F11" i="4"/>
  <c r="E11" i="4"/>
  <c r="H10" i="4"/>
  <c r="G10" i="4"/>
  <c r="F10" i="4"/>
  <c r="E10" i="4"/>
  <c r="E9" i="4"/>
  <c r="F9" i="4"/>
  <c r="G9" i="4"/>
  <c r="H9" i="4"/>
  <c r="G8" i="4"/>
  <c r="F8" i="4"/>
  <c r="E8" i="4"/>
  <c r="H8" i="4"/>
  <c r="E7" i="4"/>
  <c r="F7" i="4"/>
  <c r="G7" i="4"/>
  <c r="H7" i="4"/>
  <c r="E6" i="4"/>
  <c r="F6" i="4"/>
  <c r="G6" i="4"/>
  <c r="H6" i="4"/>
  <c r="F5" i="4"/>
  <c r="G5" i="4"/>
  <c r="H5" i="4"/>
  <c r="E5" i="4"/>
  <c r="B75" i="1"/>
  <c r="B45" i="1"/>
  <c r="B46" i="1" s="1"/>
  <c r="B47" i="1" s="1"/>
  <c r="B48" i="1" s="1"/>
  <c r="B49" i="1" s="1"/>
  <c r="B50" i="1" s="1"/>
  <c r="B51" i="1" l="1"/>
  <c r="B80" i="1"/>
  <c r="B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MPP BPKP</author>
  </authors>
  <commentList>
    <comment ref="C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10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1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1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1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1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15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16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1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18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19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20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2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2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23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24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25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26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Ketik NIP sebagai teks 18 digit angka.</t>
        </r>
      </text>
    </comment>
    <comment ref="C27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Ketik NIP Kepala Perwakilan.</t>
        </r>
      </text>
    </comment>
    <comment ref="B40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Nilai otomatis; Sabtu/Minggu dikecualikan.</t>
        </r>
      </text>
    </comment>
    <comment ref="B44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Nilai otomatis; Sabtu/Minggu dikecualikan.</t>
        </r>
      </text>
    </comment>
    <comment ref="B45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Nilai otomatis; Sabtu/Minggu dikecualikan.</t>
        </r>
      </text>
    </comment>
    <comment ref="B46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Nilai otomatis; Sabtu/Minggu dikecualikan.</t>
        </r>
      </text>
    </comment>
    <comment ref="B47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Nilai otomatis; Sabtu/Minggu dikecualikan.</t>
        </r>
      </text>
    </comment>
    <comment ref="B48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Nilai otomatis; Sabtu/Minggu dikecualikan.</t>
        </r>
      </text>
    </comment>
    <comment ref="B49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Nilai otomatis; Sabtu/Minggu dikecualikan.</t>
        </r>
      </text>
    </comment>
    <comment ref="B50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Nilai otomatis; Sabtu/Minggu dikecualikan.</t>
        </r>
      </text>
    </comment>
    <comment ref="B51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Nilai otomatis; Sabtu/Minggu dikecualikan.</t>
        </r>
      </text>
    </comment>
    <comment ref="B53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6,5 jam per hari orang berasal dari parameter workbook sumber. Sesuaikan jika dasar penugasan berbeda.</t>
        </r>
      </text>
    </comment>
    <comment ref="B54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Nilai otomatis; Sabtu/Minggu dikecualikan.</t>
        </r>
      </text>
    </comment>
    <comment ref="B71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Nilai otomatis; Sabtu/Minggu dikecualikan.</t>
        </r>
      </text>
    </comment>
    <comment ref="B74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Nilai otomatis; Sabtu/Minggu dikecualikan.</t>
        </r>
      </text>
    </comment>
    <comment ref="B75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Nilai otomatis; Sabtu/Minggu dikecualikan.</t>
        </r>
      </text>
    </comment>
    <comment ref="B76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Nilai otomatis; Sabtu/Minggu dikecualikan.</t>
        </r>
      </text>
    </comment>
    <comment ref="B80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Nilai otomatis; Sabtu/Minggu dikecualikan.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MPP BPKP</author>
  </authors>
  <commentList>
    <comment ref="E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5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5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6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6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6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7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7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7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8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8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8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9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9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9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10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10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10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11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11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11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12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12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12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13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13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13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14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14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14" authorId="0" shapeId="0" xr:uid="{00000000-0006-0000-0300-00001E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15" authorId="0" shapeId="0" xr:uid="{00000000-0006-0000-0300-00001F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15" authorId="0" shapeId="0" xr:uid="{00000000-0006-0000-0300-000020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15" authorId="0" shapeId="0" xr:uid="{00000000-0006-0000-0300-000021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16" authorId="0" shapeId="0" xr:uid="{00000000-0006-0000-0300-000022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16" authorId="0" shapeId="0" xr:uid="{00000000-0006-0000-0300-000023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16" authorId="0" shapeId="0" xr:uid="{00000000-0006-0000-0300-000024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17" authorId="0" shapeId="0" xr:uid="{00000000-0006-0000-0300-000025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17" authorId="0" shapeId="0" xr:uid="{00000000-0006-0000-0300-000026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17" authorId="0" shapeId="0" xr:uid="{00000000-0006-0000-0300-000027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18" authorId="0" shapeId="0" xr:uid="{00000000-0006-0000-0300-000028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18" authorId="0" shapeId="0" xr:uid="{00000000-0006-0000-0300-000029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18" authorId="0" shapeId="0" xr:uid="{00000000-0006-0000-0300-00002A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19" authorId="0" shapeId="0" xr:uid="{00000000-0006-0000-0300-00002B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19" authorId="0" shapeId="0" xr:uid="{00000000-0006-0000-0300-00002C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19" authorId="0" shapeId="0" xr:uid="{00000000-0006-0000-0300-00002D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20" authorId="0" shapeId="0" xr:uid="{00000000-0006-0000-0300-00002E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20" authorId="0" shapeId="0" xr:uid="{00000000-0006-0000-0300-00002F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20" authorId="0" shapeId="0" xr:uid="{00000000-0006-0000-0300-000030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21" authorId="0" shapeId="0" xr:uid="{00000000-0006-0000-0300-000031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21" authorId="0" shapeId="0" xr:uid="{00000000-0006-0000-0300-000032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21" authorId="0" shapeId="0" xr:uid="{00000000-0006-0000-0300-000033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22" authorId="0" shapeId="0" xr:uid="{00000000-0006-0000-0300-000034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22" authorId="0" shapeId="0" xr:uid="{00000000-0006-0000-0300-000035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22" authorId="0" shapeId="0" xr:uid="{00000000-0006-0000-0300-000036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23" authorId="0" shapeId="0" xr:uid="{00000000-0006-0000-0300-000037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23" authorId="0" shapeId="0" xr:uid="{00000000-0006-0000-0300-000038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23" authorId="0" shapeId="0" xr:uid="{00000000-0006-0000-0300-000039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24" authorId="0" shapeId="0" xr:uid="{00000000-0006-0000-0300-00003A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24" authorId="0" shapeId="0" xr:uid="{00000000-0006-0000-0300-00003B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24" authorId="0" shapeId="0" xr:uid="{00000000-0006-0000-0300-00003C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25" authorId="0" shapeId="0" xr:uid="{00000000-0006-0000-0300-00003D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25" authorId="0" shapeId="0" xr:uid="{00000000-0006-0000-0300-00003E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25" authorId="0" shapeId="0" xr:uid="{00000000-0006-0000-0300-00003F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26" authorId="0" shapeId="0" xr:uid="{00000000-0006-0000-0300-000040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26" authorId="0" shapeId="0" xr:uid="{00000000-0006-0000-0300-000041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26" authorId="0" shapeId="0" xr:uid="{00000000-0006-0000-0300-000042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E27" authorId="0" shapeId="0" xr:uid="{00000000-0006-0000-0300-000043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F27" authorId="0" shapeId="0" xr:uid="{00000000-0006-0000-0300-000044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  <comment ref="G27" authorId="0" shapeId="0" xr:uid="{00000000-0006-0000-0300-000045000000}">
      <text>
        <r>
          <rPr>
            <sz val="11"/>
            <color theme="1"/>
            <rFont val="Calibri"/>
            <family val="2"/>
            <scheme val="minor"/>
          </rPr>
          <t>Asumsi awal partisipasi penuh. Ganti jam sesuai rencana orang ini.</t>
        </r>
      </text>
    </comment>
  </commentList>
</comments>
</file>

<file path=xl/sharedStrings.xml><?xml version="1.0" encoding="utf-8"?>
<sst xmlns="http://schemas.openxmlformats.org/spreadsheetml/2006/main" count="251" uniqueCount="206">
  <si>
    <t>DATA MASTER PENUGASAN — MPP BPKP</t>
  </si>
  <si>
    <t>Kuning = isian pengguna; Abu-abu = formula otomatis. Contoh isian nyata tersedia langsung pada Kolom D.</t>
  </si>
  <si>
    <t>TIM PENGAWASAN</t>
  </si>
  <si>
    <t>Nama Pegawai</t>
  </si>
  <si>
    <t>NIP (Teks 18 Digit)</t>
  </si>
  <si>
    <t>Petunjuk &amp; Contoh Isian</t>
  </si>
  <si>
    <t>Wakil Penanggung Jawab</t>
  </si>
  <si>
    <t>Ketik nama dan NIP 18 digit angka. Wajib diisi.</t>
  </si>
  <si>
    <t>Pengendali Teknis</t>
  </si>
  <si>
    <t>Ketua Tim</t>
  </si>
  <si>
    <t>Anggota Tim</t>
  </si>
  <si>
    <t>Anggota Tim 1: Ketik nama dan NIP (baris tidak digunakan cukup dikosongkan).</t>
  </si>
  <si>
    <t>Anggota Tim 2: Ketik nama dan NIP (baris tidak digunakan cukup dikosongkan).</t>
  </si>
  <si>
    <t>Anggota Tim 3: Ketik nama dan NIP (baris tidak digunakan cukup dikosongkan).</t>
  </si>
  <si>
    <t>Anggota Tim 4: Ketik nama dan NIP (baris tidak digunakan cukup dikosongkan).</t>
  </si>
  <si>
    <t>Anggota Tim 5: Ketik nama dan NIP (baris tidak digunakan cukup dikosongkan).</t>
  </si>
  <si>
    <t>Anggota Tim 6: Ketik nama dan NIP (baris tidak digunakan cukup dikosongkan).</t>
  </si>
  <si>
    <t>Anggota Tim 7: Ketik nama dan NIP (baris tidak digunakan cukup dikosongkan).</t>
  </si>
  <si>
    <t>Anggota Tim 8: Ketik nama dan NIP (baris tidak digunakan cukup dikosongkan).</t>
  </si>
  <si>
    <t>Anggota Tim 9: Ketik nama dan NIP (baris tidak digunakan cukup dikosongkan).</t>
  </si>
  <si>
    <t>Anggota Tim 10: Ketik nama dan NIP (baris tidak digunakan cukup dikosongkan).</t>
  </si>
  <si>
    <t>Anggota Tim 11: Ketik nama dan NIP (baris tidak digunakan cukup dikosongkan).</t>
  </si>
  <si>
    <t>Anggota Tim 12: Ketik nama dan NIP (baris tidak digunakan cukup dikosongkan).</t>
  </si>
  <si>
    <t>Anggota Tim 13: Ketik nama dan NIP (baris tidak digunakan cukup dikosongkan).</t>
  </si>
  <si>
    <t>Anggota Tim 14: Ketik nama dan NIP (baris tidak digunakan cukup dikosongkan).</t>
  </si>
  <si>
    <t>Anggota Tim 15: Ketik nama dan NIP (baris tidak digunakan cukup dikosongkan).</t>
  </si>
  <si>
    <t>Anggota Tim 16: Ketik nama dan NIP (baris tidak digunakan cukup dikosongkan).</t>
  </si>
  <si>
    <t>Anggota Tim 17: Ketik nama dan NIP (baris tidak digunakan cukup dikosongkan).</t>
  </si>
  <si>
    <t>Anggota Tim 18: Ketik nama dan NIP (baris tidak digunakan cukup dikosongkan).</t>
  </si>
  <si>
    <t>Anggota Tim 19: Ketik nama dan NIP (baris tidak digunakan cukup dikosongkan).</t>
  </si>
  <si>
    <t>Anggota Tim 20: Ketik nama dan NIP (baris tidak digunakan cukup dikosongkan).</t>
  </si>
  <si>
    <t>Kepala Perwakilan</t>
  </si>
  <si>
    <t>Ketik nama dan NIP Kepala Perwakilan penandatangan Surat Tugas.</t>
  </si>
  <si>
    <t>DETAIL PENUGASAN</t>
  </si>
  <si>
    <t>Bidang</t>
  </si>
  <si>
    <t>Pilihan bidang: Umum, IPP, APD, AN, Investigasi, P3A (Gunakan dropdown).</t>
  </si>
  <si>
    <t>BIDANG</t>
  </si>
  <si>
    <t>Nama lengkap penugasan / judul folder</t>
  </si>
  <si>
    <t>Contoh: Evaluasi atas Tata Kelola Program Ketahanan Pangan pada Pemerintah Kabupaten Nabire</t>
  </si>
  <si>
    <t>NAMA_PENUGASAN</t>
  </si>
  <si>
    <t>Sasaran pengawasan</t>
  </si>
  <si>
    <t>Contoh: Menilai efektivitas dan akuntabilitas penyaluran bantuan cadangan pangan pemerintah daerah</t>
  </si>
  <si>
    <t>SASARAN_PENGAWASAN</t>
  </si>
  <si>
    <t>Nomor kartu penugasan</t>
  </si>
  <si>
    <t>Contoh: KP-01/PW36/2/2026 (Opsional, boleh kosong saat konsep)</t>
  </si>
  <si>
    <t>NOMOR_KP</t>
  </si>
  <si>
    <t>Nama objek/entitas pengawasan</t>
  </si>
  <si>
    <t>Contoh: Dinas Ketahanan Pangan Kabupaten Nabire</t>
  </si>
  <si>
    <t>DAFTAR_OBJEK_PENGAWASAN</t>
  </si>
  <si>
    <t>Tahun anggaran/periode objek</t>
  </si>
  <si>
    <t>Contoh: Triwulan III Tahun 2026 (atau Tahun Anggaran 2026)</t>
  </si>
  <si>
    <t>PERIODE_OBJEK</t>
  </si>
  <si>
    <t>Nomor rencana pengawasan</t>
  </si>
  <si>
    <t>Contoh: R-01/PW36/2/2026 (Opsional / sesuai kondisi)</t>
  </si>
  <si>
    <t>NOMOR_RENCANA</t>
  </si>
  <si>
    <t>Tingkat risiko</t>
  </si>
  <si>
    <t>Sedang</t>
  </si>
  <si>
    <t>Pilihan tingkat risiko: Rendah, Sedang, Tinggi (Gunakan dropdown, default: Sedang)</t>
  </si>
  <si>
    <t>TINGKAT_RISIKO</t>
  </si>
  <si>
    <t>Alamat dan telepon objek</t>
  </si>
  <si>
    <t>Contoh: Jl. Merdeka No. 1, Nabire, Papua Tengah (Telp. 0984-21001)</t>
  </si>
  <si>
    <t>ALAMAT_OBJEK</t>
  </si>
  <si>
    <t>JADWAL PENUGASAN</t>
  </si>
  <si>
    <t>Tanggal konsep surat tugas</t>
  </si>
  <si>
    <t>Contoh: 02/11/2026 (Format tanggal Surat Tugas)</t>
  </si>
  <si>
    <t>TANGGAL_ST</t>
  </si>
  <si>
    <t>Tanggal pengesahan perencanaan</t>
  </si>
  <si>
    <t>Otomatis: sama dengan Tanggal Konsep ST</t>
  </si>
  <si>
    <t>TANGGAL_PENGESAHAN</t>
  </si>
  <si>
    <t>Hari kerja kalender fase persiapan</t>
  </si>
  <si>
    <t>Contoh: 1 (Jumlah hari kerja kalender fase persiapan)</t>
  </si>
  <si>
    <t>HARI_PERSIAPAN</t>
  </si>
  <si>
    <t>Hari kerja kalender fase pelaksanaan</t>
  </si>
  <si>
    <t>Contoh: 3 (Jumlah hari kerja kalender fase pelaksanaan)</t>
  </si>
  <si>
    <t>HARI_PELAKSANAAN</t>
  </si>
  <si>
    <t>Hari kerja kalender fase penyelesaian</t>
  </si>
  <si>
    <t>Contoh: 1 (Jumlah hari kerja kalender fase penyelesaian)</t>
  </si>
  <si>
    <t>HARI_PENYELESAIAN</t>
  </si>
  <si>
    <t>Mulai persiapan</t>
  </si>
  <si>
    <t>Otomatis: dihitung 2 hari kerja setelah tanggal ST</t>
  </si>
  <si>
    <t>PERS_MULAI</t>
  </si>
  <si>
    <t>Selesai persiapan</t>
  </si>
  <si>
    <t>Otomatis: rentang hari persiapan</t>
  </si>
  <si>
    <t>PERS_SELESAI</t>
  </si>
  <si>
    <t>Mulai pelaksanaan</t>
  </si>
  <si>
    <t>Otomatis: awal pelaksanaan</t>
  </si>
  <si>
    <t>LAKS_MULAI</t>
  </si>
  <si>
    <t>Selesai pelaksanaan</t>
  </si>
  <si>
    <t>Otomatis: akhir pelaksanaan (Sabtu dan Minggu dilewati otomatis)</t>
  </si>
  <si>
    <t>LAKS_SELESAI</t>
  </si>
  <si>
    <t>Mulai penyelesaian</t>
  </si>
  <si>
    <t>Otomatis: awal penyelesaian</t>
  </si>
  <si>
    <t>SELESAI_MULAI</t>
  </si>
  <si>
    <t>Selesai penyelesaian</t>
  </si>
  <si>
    <t>Otomatis: akhir penyelesaian</t>
  </si>
  <si>
    <t>SELESAI_AKHIR</t>
  </si>
  <si>
    <t>Direncanakan selesai penugasan</t>
  </si>
  <si>
    <t>Otomatis: direncanakan selesai penugasan ST</t>
  </si>
  <si>
    <t>TANGGAL_SELESAI</t>
  </si>
  <si>
    <t>Rencana penerbitan laporan (RPL)</t>
  </si>
  <si>
    <t>Otomatis: Rencana Penerbitan Laporan (RPL)</t>
  </si>
  <si>
    <t>RPL</t>
  </si>
  <si>
    <t>PARAMETER WAKTU</t>
  </si>
  <si>
    <t>Jam pengawasan per hari orang</t>
  </si>
  <si>
    <t>Contoh: 6.5 (Standar jam pengawasan per hari orang BPKP)</t>
  </si>
  <si>
    <t>JAM_PER_HARI</t>
  </si>
  <si>
    <t>Jumlah anggota tim (otomatis)</t>
  </si>
  <si>
    <t>Otomatis: menghitung jumlah anggota tim yang terisi nama</t>
  </si>
  <si>
    <t>JUMLAH_AT</t>
  </si>
  <si>
    <t>KELENGKAPAN SURAT &amp; ADMINISTRASI</t>
  </si>
  <si>
    <t>Jenis penugasan: PIA / PENGAWASAN</t>
  </si>
  <si>
    <t>Pilihan: PIA atau PENGAWASAN (Gunakan dropdown)</t>
  </si>
  <si>
    <t>JENIS_PENUGASAN</t>
  </si>
  <si>
    <t>Bentuk penugasan: EVALUASI / AUDIT / PIA / LAINNYA</t>
  </si>
  <si>
    <t>Pilihan: EVALUASI, AUDIT, PIA, LAINNYA (Gunakan dropdown, default: EVALUASI)</t>
  </si>
  <si>
    <t>BENTUK_PENGAWASAN</t>
  </si>
  <si>
    <t>Sektor</t>
  </si>
  <si>
    <t>Contoh: Pertanian dan Ketahanan Pangan</t>
  </si>
  <si>
    <t>SEKTOR</t>
  </si>
  <si>
    <t>Tema</t>
  </si>
  <si>
    <t>Contoh: Penguatan Ketahanan Pangan Daerah</t>
  </si>
  <si>
    <t>TEMA</t>
  </si>
  <si>
    <t>Topik</t>
  </si>
  <si>
    <t>Contoh: Distribusi Cadangan Beras Pemerintah</t>
  </si>
  <si>
    <t>TOPIK</t>
  </si>
  <si>
    <t>Tujuan pengawasan</t>
  </si>
  <si>
    <t>Contoh: Memperoleh keyakinan memadai atas ketepatan sasaran dan kepatuhan penyaluran bantuan cadangan pangan</t>
  </si>
  <si>
    <t>TUJUAN_PENGAWASAN</t>
  </si>
  <si>
    <t>Ruang lingkup pengawasan</t>
  </si>
  <si>
    <t>Contoh: Penyaluran bantuan pangan periode Januari s.d. September 2026 di Kabupaten Nabire</t>
  </si>
  <si>
    <t>RUANG_LINGKUP</t>
  </si>
  <si>
    <t>Jabatan penerima laporan</t>
  </si>
  <si>
    <t>Contoh: Bupati Nabire</t>
  </si>
  <si>
    <t>PENERIMA_LAPORAN</t>
  </si>
  <si>
    <t>Sumber pembiayaan</t>
  </si>
  <si>
    <t>Contoh: DIPA Perwakilan BPKP Provinsi Papua Tengah Tahun Anggaran 2026</t>
  </si>
  <si>
    <t>SUMBER_PEMBIAYAAN</t>
  </si>
  <si>
    <t>Dasar penugasan/peraturan (teks lengkap)</t>
  </si>
  <si>
    <t>Contoh: Peraturan BPKP Nomor 2 Tahun 2023 tentang Manajemen Penugasan Pengawasan di Lingkungan BPKP</t>
  </si>
  <si>
    <t>DASAR_HUKUM_RINGKAS</t>
  </si>
  <si>
    <t>Nama pedoman/panduan teknis</t>
  </si>
  <si>
    <t>Contoh: Pedoman Pengawasan Ketahanan Pangan Kedeputian Bidang Perekonomian BPKP</t>
  </si>
  <si>
    <t>PEDOMAN_PENGAWASAN</t>
  </si>
  <si>
    <t>Jabatan penerima surat pengantar</t>
  </si>
  <si>
    <t>Contoh: Kepala Dinas Ketahanan Pangan Kabupaten Nabire</t>
  </si>
  <si>
    <t>JABATAN_PENERIMA</t>
  </si>
  <si>
    <t>Tempat/kota penerima surat</t>
  </si>
  <si>
    <t>Contoh: Nabire</t>
  </si>
  <si>
    <t>KOTA_PENERIMA</t>
  </si>
  <si>
    <t>Hal surat pengantar (kosong = nama penugasan)</t>
  </si>
  <si>
    <t>Contoh: Penyampaian Surat Tugas Pengawasan (Opsional, kosong = Nama Penugasan)</t>
  </si>
  <si>
    <t>HAL_SURAT_PENGANTAR</t>
  </si>
  <si>
    <t>Nomor surat pengantar (boleh kosong saat konsep)</t>
  </si>
  <si>
    <t>Contoh: PR.01.01/PW36/2/2026 (Opsional, boleh kosong saat konsep)</t>
  </si>
  <si>
    <t>NOMOR_SURAT_PENGANTAR</t>
  </si>
  <si>
    <t>Tanggal surat pengantar</t>
  </si>
  <si>
    <t>Otomatis: sama dengan Tanggal ST</t>
  </si>
  <si>
    <t>TANGGAL_SURAT_PENGANTAR</t>
  </si>
  <si>
    <t>Nomor ST (boleh kosong saat konsep)</t>
  </si>
  <si>
    <t>Contoh: ST-01/PW36/2/2026 (Opsional, boleh kosong saat konsep)</t>
  </si>
  <si>
    <t>NOMOR_ST</t>
  </si>
  <si>
    <t>Jabatan penandatangan ST/pengantar</t>
  </si>
  <si>
    <t>Contoh: Kepala Perwakilan (Default)</t>
  </si>
  <si>
    <t>JABATAN_KAPER</t>
  </si>
  <si>
    <t>Tanggal pakta integritas</t>
  </si>
  <si>
    <t>Otomatis: sama dengan Tanggal Pengesahan</t>
  </si>
  <si>
    <t>TANGGAL_PAKTA</t>
  </si>
  <si>
    <t>Mulai periode ST</t>
  </si>
  <si>
    <t>Otomatis: tanggal mulai periode ST</t>
  </si>
  <si>
    <t>TANGGAL_MULAI</t>
  </si>
  <si>
    <t>Hari kerja ST (otomatis, Sabtu/Minggu dikecualikan)</t>
  </si>
  <si>
    <t>Otomatis: total hari kerja ST (Sabtu dan Minggu dilewati otomatis)</t>
  </si>
  <si>
    <t>JUMLAH_HARI</t>
  </si>
  <si>
    <t>RMP menurut PKPT (jika ada)</t>
  </si>
  <si>
    <t>Contoh: RMP-01 (Opsional, jika ada menurut PKPT)</t>
  </si>
  <si>
    <t>RMP_PKPT</t>
  </si>
  <si>
    <t>RPL menurut PKPT (jika ada)</t>
  </si>
  <si>
    <t>Contoh: RPL-01 (Opsional, jika ada menurut PKPT)</t>
  </si>
  <si>
    <t>RPL_PKPT</t>
  </si>
  <si>
    <t>RPL non-PKPT (jika ada)</t>
  </si>
  <si>
    <t>Contoh: RPL-NON-01 (Opsional, jika ada)</t>
  </si>
  <si>
    <t>RPL_NON_PKPT</t>
  </si>
  <si>
    <t>Target selesai konsep laporan</t>
  </si>
  <si>
    <t>Otomatis: target selesai konsep laporan</t>
  </si>
  <si>
    <t>TGL_KONSEP_LAPORAN</t>
  </si>
  <si>
    <t>SUMBER DAN SKEMA</t>
  </si>
  <si>
    <t>Versi skema</t>
  </si>
  <si>
    <t>1.1</t>
  </si>
  <si>
    <t>Workbook sumber</t>
  </si>
  <si>
    <t>D:/autoST/KM4_KM5_KM6.xlsx — DATA (dibaca, tidak diubah)</t>
  </si>
  <si>
    <t>IHP</t>
  </si>
  <si>
    <t>Ketik butir Insilwas per baris (boleh diawali ID seperti IHP-01, nomor 1., atau langsung uraian; skrip otomatis mengekstrak ID).</t>
  </si>
  <si>
    <t>Informasi Hasil Pengawasan (Insilwas)</t>
  </si>
  <si>
    <t>TEMBUSAN</t>
  </si>
  <si>
    <t>Isi baris mulai 5; baris kosong tidak diproses. Tambahkan baris bila diperlukan.</t>
  </si>
  <si>
    <t>Jabatan/instansi penerima tembusan</t>
  </si>
  <si>
    <t>ALOKASI JAM TIAP PERSONEL</t>
  </si>
  <si>
    <t>Awal: partisipasi penuh × hari fase × jam/hari. Tinjau PM/PT/anggota dan ubah jam fase di E:G bila berbeda. Anggaran, bukan realisasi.</t>
  </si>
  <si>
    <t>No.</t>
  </si>
  <si>
    <t>Peran</t>
  </si>
  <si>
    <t>Nama</t>
  </si>
  <si>
    <t>NIP</t>
  </si>
  <si>
    <t>Persiapan (jam)</t>
  </si>
  <si>
    <t>Pelaksanaan (jam)</t>
  </si>
  <si>
    <t>Penyelesaian (jam)</t>
  </si>
  <si>
    <t>Total (jam)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</si>
</sst>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"/>
  </numFmts>
  <fonts count="7" x14ac:knownFonts="1">
    <font>
      <sz val="11"/>
      <color theme="1"/>
      <name val="Calibri"/>
      <family val="2"/>
      <scheme val="minor"/>
    </font>
    <font>
      <sz val="11"/>
      <color rgb="FF0000FF"/>
      <name val="Arial"/>
    </font>
    <font>
      <i/>
      <sz val="10"/>
      <color rgb="FF595959"/>
      <name val="Arial"/>
    </font>
    <font>
      <sz val="11"/>
      <color rgb="FF000000"/>
      <name val="Arial"/>
    </font>
    <font>
      <sz val="11"/>
      <name val="Arial"/>
    </font>
    <font>
      <b/>
      <sz val="11"/>
      <color rgb="FFFFFFFF"/>
      <name val="Arial"/>
    </font>
    <font>
      <b/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 style="thin">
        <color rgb="FFCFD9E8"/>
      </left>
      <right style="thin">
        <color rgb="FFCFD9E8"/>
      </right>
      <top style="thin">
        <color rgb="FFCFD9E8"/>
      </top>
      <bottom style="thin">
        <color rgb="FFCFD9E8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4" fontId="1" fillId="2" borderId="1" xfId="0" applyNumberFormat="1" applyFont="1" applyFill="1" applyBorder="1" applyAlignment="1">
      <alignment vertical="top" wrapText="1"/>
    </xf>
    <xf numFmtId="164" fontId="3" fillId="3" borderId="1" xfId="0" applyNumberFormat="1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2" fontId="3" fillId="3" borderId="1" xfId="0" applyNumberFormat="1" applyFont="1" applyFill="1" applyBorder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  <pageSetUpPr fitToPage="1"/>
  </sheetPr>
  <dimension ref="A1:E83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sqref="A1:D1"/>
    </sheetView>
  </sheetViews>
  <sheetFormatPr defaultRowHeight="14.4" x14ac:dyDescent="0.3"/>
  <cols>
    <col min="1" max="1" width="38" customWidth="1"/>
    <col min="2" max="2" width="52" customWidth="1"/>
    <col min="3" max="3" width="26" customWidth="1"/>
    <col min="4" max="4" width="82" customWidth="1"/>
    <col min="5" max="5" width="13" hidden="1" customWidth="1"/>
  </cols>
  <sheetData>
    <row r="1" spans="1:5" x14ac:dyDescent="0.3">
      <c r="A1" s="13" t="s">
        <v>0</v>
      </c>
      <c r="B1" s="13"/>
      <c r="C1" s="13"/>
      <c r="D1" s="13"/>
      <c r="E1" s="2"/>
    </row>
    <row r="2" spans="1:5" ht="31.95" customHeight="1" x14ac:dyDescent="0.3">
      <c r="A2" s="14" t="s">
        <v>1</v>
      </c>
      <c r="B2" s="14"/>
      <c r="C2" s="14"/>
      <c r="D2" s="14"/>
      <c r="E2" s="3"/>
    </row>
    <row r="3" spans="1:5" x14ac:dyDescent="0.3">
      <c r="A3" s="1" t="s">
        <v>2</v>
      </c>
      <c r="B3" s="1" t="s">
        <v>3</v>
      </c>
      <c r="C3" s="1" t="s">
        <v>4</v>
      </c>
      <c r="D3" s="1" t="s">
        <v>5</v>
      </c>
      <c r="E3" s="2"/>
    </row>
    <row r="4" spans="1:5" x14ac:dyDescent="0.3">
      <c r="A4" s="2" t="s">
        <v>6</v>
      </c>
      <c r="B4" s="4"/>
      <c r="C4" s="5"/>
      <c r="D4" s="6" t="s">
        <v>7</v>
      </c>
      <c r="E4" s="2"/>
    </row>
    <row r="5" spans="1:5" x14ac:dyDescent="0.3">
      <c r="A5" s="3" t="s">
        <v>8</v>
      </c>
      <c r="B5" s="4"/>
      <c r="C5" s="5"/>
      <c r="D5" s="6" t="s">
        <v>7</v>
      </c>
      <c r="E5" s="3"/>
    </row>
    <row r="6" spans="1:5" x14ac:dyDescent="0.3">
      <c r="A6" s="3" t="s">
        <v>9</v>
      </c>
      <c r="B6" s="4"/>
      <c r="C6" s="5"/>
      <c r="D6" s="6" t="s">
        <v>7</v>
      </c>
      <c r="E6" s="3"/>
    </row>
    <row r="7" spans="1:5" x14ac:dyDescent="0.3">
      <c r="A7" s="3" t="s">
        <v>10</v>
      </c>
      <c r="B7" s="4"/>
      <c r="C7" s="5"/>
      <c r="D7" s="6" t="s">
        <v>11</v>
      </c>
      <c r="E7" s="3"/>
    </row>
    <row r="8" spans="1:5" x14ac:dyDescent="0.3">
      <c r="A8" s="3" t="s">
        <v>10</v>
      </c>
      <c r="B8" s="4"/>
      <c r="C8" s="5"/>
      <c r="D8" s="6" t="s">
        <v>12</v>
      </c>
      <c r="E8" s="3"/>
    </row>
    <row r="9" spans="1:5" x14ac:dyDescent="0.3">
      <c r="A9" s="3" t="s">
        <v>10</v>
      </c>
      <c r="B9" s="4"/>
      <c r="C9" s="5"/>
      <c r="D9" s="6" t="s">
        <v>13</v>
      </c>
      <c r="E9" s="3"/>
    </row>
    <row r="10" spans="1:5" x14ac:dyDescent="0.3">
      <c r="A10" s="3" t="s">
        <v>10</v>
      </c>
      <c r="B10" s="4"/>
      <c r="C10" s="5"/>
      <c r="D10" s="6" t="s">
        <v>14</v>
      </c>
      <c r="E10" s="3"/>
    </row>
    <row r="11" spans="1:5" x14ac:dyDescent="0.3">
      <c r="A11" s="3" t="s">
        <v>10</v>
      </c>
      <c r="B11" s="4"/>
      <c r="C11" s="5"/>
      <c r="D11" s="6" t="s">
        <v>15</v>
      </c>
      <c r="E11" s="3"/>
    </row>
    <row r="12" spans="1:5" x14ac:dyDescent="0.3">
      <c r="A12" s="3" t="s">
        <v>10</v>
      </c>
      <c r="B12" s="4"/>
      <c r="C12" s="5"/>
      <c r="D12" s="6" t="s">
        <v>16</v>
      </c>
      <c r="E12" s="3"/>
    </row>
    <row r="13" spans="1:5" x14ac:dyDescent="0.3">
      <c r="A13" s="3" t="s">
        <v>10</v>
      </c>
      <c r="B13" s="4"/>
      <c r="C13" s="5"/>
      <c r="D13" s="6" t="s">
        <v>17</v>
      </c>
      <c r="E13" s="3"/>
    </row>
    <row r="14" spans="1:5" x14ac:dyDescent="0.3">
      <c r="A14" s="3" t="s">
        <v>10</v>
      </c>
      <c r="B14" s="4"/>
      <c r="C14" s="5"/>
      <c r="D14" s="6" t="s">
        <v>18</v>
      </c>
      <c r="E14" s="3"/>
    </row>
    <row r="15" spans="1:5" x14ac:dyDescent="0.3">
      <c r="A15" s="3" t="s">
        <v>10</v>
      </c>
      <c r="B15" s="4"/>
      <c r="C15" s="5"/>
      <c r="D15" s="6" t="s">
        <v>19</v>
      </c>
      <c r="E15" s="3"/>
    </row>
    <row r="16" spans="1:5" x14ac:dyDescent="0.3">
      <c r="A16" s="3" t="s">
        <v>10</v>
      </c>
      <c r="B16" s="4"/>
      <c r="C16" s="5"/>
      <c r="D16" s="6" t="s">
        <v>20</v>
      </c>
      <c r="E16" s="3"/>
    </row>
    <row r="17" spans="1:5" x14ac:dyDescent="0.3">
      <c r="A17" s="3" t="s">
        <v>10</v>
      </c>
      <c r="B17" s="4"/>
      <c r="C17" s="5"/>
      <c r="D17" s="6" t="s">
        <v>21</v>
      </c>
      <c r="E17" s="3"/>
    </row>
    <row r="18" spans="1:5" x14ac:dyDescent="0.3">
      <c r="A18" s="3" t="s">
        <v>10</v>
      </c>
      <c r="B18" s="4"/>
      <c r="C18" s="5"/>
      <c r="D18" s="6" t="s">
        <v>22</v>
      </c>
      <c r="E18" s="3"/>
    </row>
    <row r="19" spans="1:5" x14ac:dyDescent="0.3">
      <c r="A19" s="3" t="s">
        <v>10</v>
      </c>
      <c r="B19" s="4"/>
      <c r="C19" s="5"/>
      <c r="D19" s="6" t="s">
        <v>23</v>
      </c>
      <c r="E19" s="3"/>
    </row>
    <row r="20" spans="1:5" x14ac:dyDescent="0.3">
      <c r="A20" s="3" t="s">
        <v>10</v>
      </c>
      <c r="B20" s="4"/>
      <c r="C20" s="5"/>
      <c r="D20" s="6" t="s">
        <v>24</v>
      </c>
      <c r="E20" s="3"/>
    </row>
    <row r="21" spans="1:5" x14ac:dyDescent="0.3">
      <c r="A21" s="3" t="s">
        <v>10</v>
      </c>
      <c r="B21" s="4"/>
      <c r="C21" s="5"/>
      <c r="D21" s="6" t="s">
        <v>25</v>
      </c>
      <c r="E21" s="3"/>
    </row>
    <row r="22" spans="1:5" x14ac:dyDescent="0.3">
      <c r="A22" s="3" t="s">
        <v>10</v>
      </c>
      <c r="B22" s="4"/>
      <c r="C22" s="5"/>
      <c r="D22" s="6" t="s">
        <v>26</v>
      </c>
      <c r="E22" s="3"/>
    </row>
    <row r="23" spans="1:5" x14ac:dyDescent="0.3">
      <c r="A23" s="3" t="s">
        <v>10</v>
      </c>
      <c r="B23" s="4"/>
      <c r="C23" s="5"/>
      <c r="D23" s="6" t="s">
        <v>27</v>
      </c>
      <c r="E23" s="3"/>
    </row>
    <row r="24" spans="1:5" x14ac:dyDescent="0.3">
      <c r="A24" s="3" t="s">
        <v>10</v>
      </c>
      <c r="B24" s="4"/>
      <c r="C24" s="5"/>
      <c r="D24" s="6" t="s">
        <v>28</v>
      </c>
      <c r="E24" s="3"/>
    </row>
    <row r="25" spans="1:5" x14ac:dyDescent="0.3">
      <c r="A25" s="3" t="s">
        <v>10</v>
      </c>
      <c r="B25" s="4"/>
      <c r="C25" s="5"/>
      <c r="D25" s="6" t="s">
        <v>29</v>
      </c>
      <c r="E25" s="3"/>
    </row>
    <row r="26" spans="1:5" x14ac:dyDescent="0.3">
      <c r="A26" s="3" t="s">
        <v>10</v>
      </c>
      <c r="B26" s="4"/>
      <c r="C26" s="5"/>
      <c r="D26" s="6" t="s">
        <v>30</v>
      </c>
      <c r="E26" s="3"/>
    </row>
    <row r="27" spans="1:5" x14ac:dyDescent="0.3">
      <c r="A27" s="3" t="s">
        <v>31</v>
      </c>
      <c r="B27" s="4"/>
      <c r="C27" s="5"/>
      <c r="D27" s="6" t="s">
        <v>32</v>
      </c>
      <c r="E27" s="3"/>
    </row>
    <row r="28" spans="1:5" x14ac:dyDescent="0.3">
      <c r="A28" s="1" t="s">
        <v>33</v>
      </c>
      <c r="B28" s="1"/>
      <c r="C28" s="1"/>
      <c r="D28" s="1"/>
      <c r="E28" s="3"/>
    </row>
    <row r="29" spans="1:5" x14ac:dyDescent="0.3">
      <c r="A29" s="3" t="s">
        <v>34</v>
      </c>
      <c r="B29" s="4"/>
      <c r="C29" s="3"/>
      <c r="D29" s="6" t="s">
        <v>35</v>
      </c>
      <c r="E29" s="3" t="s">
        <v>36</v>
      </c>
    </row>
    <row r="30" spans="1:5" ht="52.05" customHeight="1" x14ac:dyDescent="0.3">
      <c r="A30" s="3" t="s">
        <v>37</v>
      </c>
      <c r="B30" s="4"/>
      <c r="C30" s="3"/>
      <c r="D30" s="6" t="s">
        <v>38</v>
      </c>
      <c r="E30" s="3" t="s">
        <v>39</v>
      </c>
    </row>
    <row r="31" spans="1:5" ht="52.05" customHeight="1" x14ac:dyDescent="0.3">
      <c r="A31" s="3" t="s">
        <v>40</v>
      </c>
      <c r="B31" s="4"/>
      <c r="C31" s="3"/>
      <c r="D31" s="6" t="s">
        <v>41</v>
      </c>
      <c r="E31" s="3" t="s">
        <v>42</v>
      </c>
    </row>
    <row r="32" spans="1:5" x14ac:dyDescent="0.3">
      <c r="A32" s="3" t="s">
        <v>43</v>
      </c>
      <c r="B32" s="4"/>
      <c r="C32" s="3"/>
      <c r="D32" s="6" t="s">
        <v>44</v>
      </c>
      <c r="E32" s="3" t="s">
        <v>45</v>
      </c>
    </row>
    <row r="33" spans="1:5" ht="52.05" customHeight="1" x14ac:dyDescent="0.3">
      <c r="A33" s="3" t="s">
        <v>46</v>
      </c>
      <c r="B33" s="4"/>
      <c r="C33" s="3"/>
      <c r="D33" s="6" t="s">
        <v>47</v>
      </c>
      <c r="E33" s="3" t="s">
        <v>48</v>
      </c>
    </row>
    <row r="34" spans="1:5" ht="27.6" x14ac:dyDescent="0.3">
      <c r="A34" s="3" t="s">
        <v>49</v>
      </c>
      <c r="B34" s="4"/>
      <c r="C34" s="3"/>
      <c r="D34" s="6" t="s">
        <v>50</v>
      </c>
      <c r="E34" s="3" t="s">
        <v>51</v>
      </c>
    </row>
    <row r="35" spans="1:5" ht="27.6" x14ac:dyDescent="0.3">
      <c r="A35" s="3" t="s">
        <v>52</v>
      </c>
      <c r="B35" s="4"/>
      <c r="C35" s="3"/>
      <c r="D35" s="6" t="s">
        <v>53</v>
      </c>
      <c r="E35" s="3" t="s">
        <v>54</v>
      </c>
    </row>
    <row r="36" spans="1:5" ht="27.6" x14ac:dyDescent="0.3">
      <c r="A36" s="3" t="s">
        <v>55</v>
      </c>
      <c r="B36" s="4" t="s">
        <v>56</v>
      </c>
      <c r="C36" s="3"/>
      <c r="D36" s="6" t="s">
        <v>57</v>
      </c>
      <c r="E36" s="3" t="s">
        <v>58</v>
      </c>
    </row>
    <row r="37" spans="1:5" ht="27.6" x14ac:dyDescent="0.3">
      <c r="A37" s="3" t="s">
        <v>59</v>
      </c>
      <c r="B37" s="4"/>
      <c r="C37" s="3"/>
      <c r="D37" s="6" t="s">
        <v>60</v>
      </c>
      <c r="E37" s="3" t="s">
        <v>61</v>
      </c>
    </row>
    <row r="38" spans="1:5" x14ac:dyDescent="0.3">
      <c r="A38" s="1" t="s">
        <v>62</v>
      </c>
      <c r="B38" s="1"/>
      <c r="C38" s="1"/>
      <c r="D38" s="1"/>
      <c r="E38" s="3"/>
    </row>
    <row r="39" spans="1:5" ht="27.6" x14ac:dyDescent="0.3">
      <c r="A39" s="3" t="s">
        <v>63</v>
      </c>
      <c r="B39" s="7"/>
      <c r="C39" s="3"/>
      <c r="D39" s="6" t="s">
        <v>64</v>
      </c>
      <c r="E39" s="3" t="s">
        <v>65</v>
      </c>
    </row>
    <row r="40" spans="1:5" ht="41.4" x14ac:dyDescent="0.3">
      <c r="A40" s="3" t="s">
        <v>66</v>
      </c>
      <c r="B40" s="8" t="str">
        <f>IF(B39="","",B39)</f>
        <v/>
      </c>
      <c r="C40" s="3"/>
      <c r="D40" s="6" t="s">
        <v>67</v>
      </c>
      <c r="E40" s="3" t="s">
        <v>68</v>
      </c>
    </row>
    <row r="41" spans="1:5" ht="27.6" x14ac:dyDescent="0.3">
      <c r="A41" s="3" t="s">
        <v>69</v>
      </c>
      <c r="B41" s="4"/>
      <c r="C41" s="3"/>
      <c r="D41" s="6" t="s">
        <v>70</v>
      </c>
      <c r="E41" s="3" t="s">
        <v>71</v>
      </c>
    </row>
    <row r="42" spans="1:5" ht="27.6" x14ac:dyDescent="0.3">
      <c r="A42" s="3" t="s">
        <v>72</v>
      </c>
      <c r="B42" s="4"/>
      <c r="C42" s="3"/>
      <c r="D42" s="6" t="s">
        <v>73</v>
      </c>
      <c r="E42" s="3" t="s">
        <v>74</v>
      </c>
    </row>
    <row r="43" spans="1:5" ht="27.6" x14ac:dyDescent="0.3">
      <c r="A43" s="3" t="s">
        <v>75</v>
      </c>
      <c r="B43" s="4"/>
      <c r="C43" s="3"/>
      <c r="D43" s="6" t="s">
        <v>76</v>
      </c>
      <c r="E43" s="3" t="s">
        <v>77</v>
      </c>
    </row>
    <row r="44" spans="1:5" ht="27.6" x14ac:dyDescent="0.3">
      <c r="A44" s="3" t="s">
        <v>78</v>
      </c>
      <c r="B44" s="8" t="str">
        <f>IF(B39="","",WORKDAY(B39,2))</f>
        <v/>
      </c>
      <c r="C44" s="3"/>
      <c r="D44" s="6" t="s">
        <v>79</v>
      </c>
      <c r="E44" s="3" t="s">
        <v>80</v>
      </c>
    </row>
    <row r="45" spans="1:5" ht="27.6" x14ac:dyDescent="0.3">
      <c r="A45" s="3" t="s">
        <v>81</v>
      </c>
      <c r="B45" s="8" t="str">
        <f>IF(OR(B44="",B41=""),"",WORKDAY(B44,B41-1))</f>
        <v/>
      </c>
      <c r="C45" s="3"/>
      <c r="D45" s="6" t="s">
        <v>82</v>
      </c>
      <c r="E45" s="3" t="s">
        <v>83</v>
      </c>
    </row>
    <row r="46" spans="1:5" x14ac:dyDescent="0.3">
      <c r="A46" s="3" t="s">
        <v>84</v>
      </c>
      <c r="B46" s="8" t="str">
        <f>IF(B45="","",WORKDAY(B45,1))</f>
        <v/>
      </c>
      <c r="C46" s="3"/>
      <c r="D46" s="6" t="s">
        <v>85</v>
      </c>
      <c r="E46" s="3" t="s">
        <v>86</v>
      </c>
    </row>
    <row r="47" spans="1:5" ht="27.6" x14ac:dyDescent="0.3">
      <c r="A47" s="3" t="s">
        <v>87</v>
      </c>
      <c r="B47" s="8" t="str">
        <f>IF(OR(B46="",B42=""),"",WORKDAY(B46,B42-1))</f>
        <v/>
      </c>
      <c r="C47" s="3"/>
      <c r="D47" s="6" t="s">
        <v>88</v>
      </c>
      <c r="E47" s="3" t="s">
        <v>89</v>
      </c>
    </row>
    <row r="48" spans="1:5" ht="27.6" x14ac:dyDescent="0.3">
      <c r="A48" s="3" t="s">
        <v>90</v>
      </c>
      <c r="B48" s="8" t="str">
        <f>IF(B47="","",WORKDAY(B47,1))</f>
        <v/>
      </c>
      <c r="C48" s="3"/>
      <c r="D48" s="6" t="s">
        <v>91</v>
      </c>
      <c r="E48" s="3" t="s">
        <v>92</v>
      </c>
    </row>
    <row r="49" spans="1:5" ht="27.6" x14ac:dyDescent="0.3">
      <c r="A49" s="3" t="s">
        <v>93</v>
      </c>
      <c r="B49" s="8" t="str">
        <f>IF(OR(B48="",B43=""),"",WORKDAY(B48,B43-1))</f>
        <v/>
      </c>
      <c r="C49" s="3"/>
      <c r="D49" s="6" t="s">
        <v>94</v>
      </c>
      <c r="E49" s="3" t="s">
        <v>95</v>
      </c>
    </row>
    <row r="50" spans="1:5" ht="27.6" x14ac:dyDescent="0.3">
      <c r="A50" s="3" t="s">
        <v>96</v>
      </c>
      <c r="B50" s="8" t="str">
        <f>IF(B49="","",B49)</f>
        <v/>
      </c>
      <c r="C50" s="3"/>
      <c r="D50" s="6" t="s">
        <v>97</v>
      </c>
      <c r="E50" s="3" t="s">
        <v>98</v>
      </c>
    </row>
    <row r="51" spans="1:5" x14ac:dyDescent="0.3">
      <c r="A51" s="3" t="s">
        <v>99</v>
      </c>
      <c r="B51" s="8" t="str">
        <f>IF(B50="","",B50)</f>
        <v/>
      </c>
      <c r="C51" s="3"/>
      <c r="D51" s="6" t="s">
        <v>100</v>
      </c>
      <c r="E51" s="3" t="s">
        <v>101</v>
      </c>
    </row>
    <row r="52" spans="1:5" x14ac:dyDescent="0.3">
      <c r="A52" s="1" t="s">
        <v>102</v>
      </c>
      <c r="B52" s="1"/>
      <c r="C52" s="1"/>
      <c r="D52" s="1"/>
      <c r="E52" s="3"/>
    </row>
    <row r="53" spans="1:5" ht="27.6" x14ac:dyDescent="0.3">
      <c r="A53" s="3" t="s">
        <v>103</v>
      </c>
      <c r="B53" s="4">
        <v>6.5</v>
      </c>
      <c r="C53" s="3"/>
      <c r="D53" s="6" t="s">
        <v>104</v>
      </c>
      <c r="E53" s="3" t="s">
        <v>105</v>
      </c>
    </row>
    <row r="54" spans="1:5" x14ac:dyDescent="0.3">
      <c r="A54" s="3" t="s">
        <v>106</v>
      </c>
      <c r="B54" s="9">
        <f>COUNTA(B7:B26)</f>
        <v>0</v>
      </c>
      <c r="C54" s="3"/>
      <c r="D54" s="6" t="s">
        <v>107</v>
      </c>
      <c r="E54" s="3" t="s">
        <v>108</v>
      </c>
    </row>
    <row r="55" spans="1:5" ht="27.6" x14ac:dyDescent="0.3">
      <c r="A55" s="1" t="s">
        <v>109</v>
      </c>
      <c r="B55" s="1"/>
      <c r="C55" s="1"/>
      <c r="D55" s="1"/>
      <c r="E55" s="3"/>
    </row>
    <row r="56" spans="1:5" ht="27.6" x14ac:dyDescent="0.3">
      <c r="A56" s="3" t="s">
        <v>110</v>
      </c>
      <c r="B56" s="4"/>
      <c r="C56" s="3"/>
      <c r="D56" s="6" t="s">
        <v>111</v>
      </c>
      <c r="E56" s="3" t="s">
        <v>112</v>
      </c>
    </row>
    <row r="57" spans="1:5" ht="27.6" x14ac:dyDescent="0.3">
      <c r="A57" s="3" t="s">
        <v>113</v>
      </c>
      <c r="B57" s="4"/>
      <c r="C57" s="3"/>
      <c r="D57" s="6" t="s">
        <v>114</v>
      </c>
      <c r="E57" s="3" t="s">
        <v>115</v>
      </c>
    </row>
    <row r="58" spans="1:5" x14ac:dyDescent="0.3">
      <c r="A58" s="3" t="s">
        <v>116</v>
      </c>
      <c r="B58" s="4"/>
      <c r="C58" s="3"/>
      <c r="D58" s="6" t="s">
        <v>117</v>
      </c>
      <c r="E58" s="3" t="s">
        <v>118</v>
      </c>
    </row>
    <row r="59" spans="1:5" x14ac:dyDescent="0.3">
      <c r="A59" s="3" t="s">
        <v>119</v>
      </c>
      <c r="B59" s="4"/>
      <c r="C59" s="3"/>
      <c r="D59" s="6" t="s">
        <v>120</v>
      </c>
      <c r="E59" s="3" t="s">
        <v>121</v>
      </c>
    </row>
    <row r="60" spans="1:5" x14ac:dyDescent="0.3">
      <c r="A60" s="3" t="s">
        <v>122</v>
      </c>
      <c r="B60" s="4"/>
      <c r="C60" s="3"/>
      <c r="D60" s="6" t="s">
        <v>123</v>
      </c>
      <c r="E60" s="3" t="s">
        <v>124</v>
      </c>
    </row>
    <row r="61" spans="1:5" ht="52.05" customHeight="1" x14ac:dyDescent="0.3">
      <c r="A61" s="3" t="s">
        <v>125</v>
      </c>
      <c r="B61" s="4"/>
      <c r="C61" s="3"/>
      <c r="D61" s="6" t="s">
        <v>126</v>
      </c>
      <c r="E61" s="3" t="s">
        <v>127</v>
      </c>
    </row>
    <row r="62" spans="1:5" ht="52.05" customHeight="1" x14ac:dyDescent="0.3">
      <c r="A62" s="3" t="s">
        <v>128</v>
      </c>
      <c r="B62" s="4"/>
      <c r="C62" s="3"/>
      <c r="D62" s="6" t="s">
        <v>129</v>
      </c>
      <c r="E62" s="3" t="s">
        <v>130</v>
      </c>
    </row>
    <row r="63" spans="1:5" ht="27.6" x14ac:dyDescent="0.3">
      <c r="A63" s="3" t="s">
        <v>131</v>
      </c>
      <c r="B63" s="4"/>
      <c r="C63" s="3"/>
      <c r="D63" s="6" t="s">
        <v>132</v>
      </c>
      <c r="E63" s="3" t="s">
        <v>133</v>
      </c>
    </row>
    <row r="64" spans="1:5" ht="52.05" customHeight="1" x14ac:dyDescent="0.3">
      <c r="A64" s="3" t="s">
        <v>134</v>
      </c>
      <c r="B64" s="4"/>
      <c r="C64" s="3"/>
      <c r="D64" s="6" t="s">
        <v>135</v>
      </c>
      <c r="E64" s="3" t="s">
        <v>136</v>
      </c>
    </row>
    <row r="65" spans="1:5" ht="52.05" customHeight="1" x14ac:dyDescent="0.3">
      <c r="A65" s="3" t="s">
        <v>137</v>
      </c>
      <c r="B65" s="4"/>
      <c r="C65" s="3"/>
      <c r="D65" s="6" t="s">
        <v>138</v>
      </c>
      <c r="E65" s="3" t="s">
        <v>139</v>
      </c>
    </row>
    <row r="66" spans="1:5" ht="52.05" customHeight="1" x14ac:dyDescent="0.3">
      <c r="A66" s="3" t="s">
        <v>140</v>
      </c>
      <c r="B66" s="4"/>
      <c r="C66" s="3"/>
      <c r="D66" s="6" t="s">
        <v>141</v>
      </c>
      <c r="E66" s="3" t="s">
        <v>142</v>
      </c>
    </row>
    <row r="67" spans="1:5" ht="27.6" x14ac:dyDescent="0.3">
      <c r="A67" s="3" t="s">
        <v>143</v>
      </c>
      <c r="B67" s="4"/>
      <c r="C67" s="3"/>
      <c r="D67" s="6" t="s">
        <v>144</v>
      </c>
      <c r="E67" s="3" t="s">
        <v>145</v>
      </c>
    </row>
    <row r="68" spans="1:5" ht="27.6" x14ac:dyDescent="0.3">
      <c r="A68" s="3" t="s">
        <v>146</v>
      </c>
      <c r="B68" s="4"/>
      <c r="C68" s="3"/>
      <c r="D68" s="6" t="s">
        <v>147</v>
      </c>
      <c r="E68" s="3" t="s">
        <v>148</v>
      </c>
    </row>
    <row r="69" spans="1:5" ht="41.4" x14ac:dyDescent="0.3">
      <c r="A69" s="3" t="s">
        <v>149</v>
      </c>
      <c r="B69" s="4"/>
      <c r="C69" s="3"/>
      <c r="D69" s="6" t="s">
        <v>150</v>
      </c>
      <c r="E69" s="3" t="s">
        <v>151</v>
      </c>
    </row>
    <row r="70" spans="1:5" ht="41.4" x14ac:dyDescent="0.3">
      <c r="A70" s="3" t="s">
        <v>152</v>
      </c>
      <c r="B70" s="4"/>
      <c r="C70" s="3"/>
      <c r="D70" s="6" t="s">
        <v>153</v>
      </c>
      <c r="E70" s="3" t="s">
        <v>154</v>
      </c>
    </row>
    <row r="71" spans="1:5" ht="41.4" x14ac:dyDescent="0.3">
      <c r="A71" s="3" t="s">
        <v>155</v>
      </c>
      <c r="B71" s="8" t="str">
        <f>IF(B39="","",B39)</f>
        <v/>
      </c>
      <c r="C71" s="3"/>
      <c r="D71" s="6" t="s">
        <v>156</v>
      </c>
      <c r="E71" s="3" t="s">
        <v>157</v>
      </c>
    </row>
    <row r="72" spans="1:5" x14ac:dyDescent="0.3">
      <c r="A72" s="3" t="s">
        <v>158</v>
      </c>
      <c r="B72" s="4"/>
      <c r="C72" s="3"/>
      <c r="D72" s="6" t="s">
        <v>159</v>
      </c>
      <c r="E72" s="3" t="s">
        <v>160</v>
      </c>
    </row>
    <row r="73" spans="1:5" ht="27.6" x14ac:dyDescent="0.3">
      <c r="A73" s="3" t="s">
        <v>161</v>
      </c>
      <c r="B73" s="4" t="s">
        <v>31</v>
      </c>
      <c r="C73" s="3"/>
      <c r="D73" s="6" t="s">
        <v>162</v>
      </c>
      <c r="E73" s="3" t="s">
        <v>163</v>
      </c>
    </row>
    <row r="74" spans="1:5" ht="27.6" x14ac:dyDescent="0.3">
      <c r="A74" s="3" t="s">
        <v>164</v>
      </c>
      <c r="B74" s="8" t="str">
        <f>IF(B40="","",B40)</f>
        <v/>
      </c>
      <c r="C74" s="3"/>
      <c r="D74" s="6" t="s">
        <v>165</v>
      </c>
      <c r="E74" s="3" t="s">
        <v>166</v>
      </c>
    </row>
    <row r="75" spans="1:5" ht="27.6" x14ac:dyDescent="0.3">
      <c r="A75" s="3" t="s">
        <v>167</v>
      </c>
      <c r="B75" s="8" t="str">
        <f>IF(B44="","",B44)</f>
        <v/>
      </c>
      <c r="C75" s="3"/>
      <c r="D75" s="6" t="s">
        <v>168</v>
      </c>
      <c r="E75" s="3" t="s">
        <v>169</v>
      </c>
    </row>
    <row r="76" spans="1:5" ht="27.6" x14ac:dyDescent="0.3">
      <c r="A76" s="3" t="s">
        <v>170</v>
      </c>
      <c r="B76" s="9" t="str">
        <f>IF(OR(B75="",B50=""),"",NETWORKDAYS(B75,B50))</f>
        <v/>
      </c>
      <c r="C76" s="3"/>
      <c r="D76" s="6" t="s">
        <v>171</v>
      </c>
      <c r="E76" s="3" t="s">
        <v>172</v>
      </c>
    </row>
    <row r="77" spans="1:5" x14ac:dyDescent="0.3">
      <c r="A77" s="3" t="s">
        <v>173</v>
      </c>
      <c r="B77" s="7"/>
      <c r="C77" s="3"/>
      <c r="D77" s="6" t="s">
        <v>174</v>
      </c>
      <c r="E77" s="3" t="s">
        <v>175</v>
      </c>
    </row>
    <row r="78" spans="1:5" x14ac:dyDescent="0.3">
      <c r="A78" s="3" t="s">
        <v>176</v>
      </c>
      <c r="B78" s="7"/>
      <c r="C78" s="3"/>
      <c r="D78" s="6" t="s">
        <v>177</v>
      </c>
      <c r="E78" s="3" t="s">
        <v>178</v>
      </c>
    </row>
    <row r="79" spans="1:5" ht="27.6" x14ac:dyDescent="0.3">
      <c r="A79" s="3" t="s">
        <v>179</v>
      </c>
      <c r="B79" s="7"/>
      <c r="C79" s="3"/>
      <c r="D79" s="6" t="s">
        <v>180</v>
      </c>
      <c r="E79" s="3" t="s">
        <v>181</v>
      </c>
    </row>
    <row r="80" spans="1:5" ht="41.4" x14ac:dyDescent="0.3">
      <c r="A80" s="3" t="s">
        <v>182</v>
      </c>
      <c r="B80" s="8" t="str">
        <f>IF(B50="","",B50)</f>
        <v/>
      </c>
      <c r="C80" s="3"/>
      <c r="D80" s="6" t="s">
        <v>183</v>
      </c>
      <c r="E80" s="3" t="s">
        <v>184</v>
      </c>
    </row>
    <row r="81" spans="1:5" x14ac:dyDescent="0.3">
      <c r="A81" s="1" t="s">
        <v>185</v>
      </c>
      <c r="B81" s="1"/>
      <c r="C81" s="1"/>
      <c r="D81" s="1"/>
      <c r="E81" s="3"/>
    </row>
    <row r="82" spans="1:5" x14ac:dyDescent="0.3">
      <c r="A82" s="3" t="s">
        <v>186</v>
      </c>
      <c r="B82" s="3" t="s">
        <v>187</v>
      </c>
      <c r="C82" s="3"/>
      <c r="D82" s="3"/>
      <c r="E82" s="3"/>
    </row>
    <row r="83" spans="1:5" ht="27.6" x14ac:dyDescent="0.3">
      <c r="A83" s="3" t="s">
        <v>188</v>
      </c>
      <c r="B83" s="3" t="s">
        <v>189</v>
      </c>
      <c r="C83" s="3"/>
      <c r="D83" s="3"/>
      <c r="E83" s="3"/>
    </row>
  </sheetData>
  <mergeCells count="2">
    <mergeCell ref="A1:D1"/>
    <mergeCell ref="A2:D2"/>
  </mergeCells>
  <dataValidations count="4">
    <dataValidation type="list" allowBlank="1" showErrorMessage="1" errorTitle="Pilihan tidak sesuai" error="Pilih salah satu nilai dalam daftar." sqref="B29" xr:uid="{00000000-0002-0000-0000-000000000000}">
      <formula1>"Umum,IPP,APD,AN,Investigasi,P3A"</formula1>
    </dataValidation>
    <dataValidation type="list" allowBlank="1" showErrorMessage="1" errorTitle="Pilihan tidak sesuai" error="Pilih salah satu nilai dalam daftar." sqref="B36" xr:uid="{00000000-0002-0000-0000-000001000000}">
      <formula1>"Rendah,Sedang,Tinggi"</formula1>
    </dataValidation>
    <dataValidation type="list" allowBlank="1" showErrorMessage="1" errorTitle="Pilihan tidak sesuai" error="Pilih salah satu nilai dalam daftar." sqref="B56" xr:uid="{00000000-0002-0000-0000-000002000000}">
      <formula1>"PIA,PENGAWASAN"</formula1>
    </dataValidation>
    <dataValidation type="list" allowBlank="1" showErrorMessage="1" errorTitle="Pilihan tidak sesuai" error="Pilih salah satu nilai dalam daftar." sqref="B57" xr:uid="{00000000-0002-0000-0000-000003000000}">
      <formula1>"EVALUASI,AUDIT,PIA,LAINNYA"</formula1>
    </dataValidation>
  </dataValidations>
  <pageMargins left="0.75" right="0.75" top="1" bottom="1" header="0.5" footer="0.5"/>
  <pageSetup fitToHeight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  <pageSetUpPr fitToPage="1"/>
  </sheetPr>
  <dimension ref="A1:B34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0" customWidth="1"/>
  </cols>
  <sheetData>
    <row r="1" spans="1:2" ht="28.05" customHeight="1" x14ac:dyDescent="0.3">
      <c r="A1" s="13" t="s">
        <v>190</v>
      </c>
      <c r="B1" s="13"/>
    </row>
    <row r="2" spans="1:2" ht="36" customHeight="1" x14ac:dyDescent="0.3">
      <c r="A2" s="15" t="s">
        <v>191</v>
      </c>
      <c r="B2" s="15"/>
    </row>
    <row r="3" spans="1:2" x14ac:dyDescent="0.3">
      <c r="A3" s="10"/>
      <c r="B3" s="10"/>
    </row>
    <row r="4" spans="1:2" x14ac:dyDescent="0.3">
      <c r="A4" s="1" t="s">
        <v>192</v>
      </c>
      <c r="B4" s="1"/>
    </row>
    <row r="5" spans="1:2" ht="45" customHeight="1" x14ac:dyDescent="0.3">
      <c r="A5" s="4"/>
      <c r="B5" s="3"/>
    </row>
    <row r="6" spans="1:2" ht="45" customHeight="1" x14ac:dyDescent="0.3">
      <c r="A6" s="4"/>
      <c r="B6" s="3"/>
    </row>
    <row r="7" spans="1:2" ht="45" customHeight="1" x14ac:dyDescent="0.3">
      <c r="A7" s="4"/>
      <c r="B7" s="3"/>
    </row>
    <row r="8" spans="1:2" ht="45" customHeight="1" x14ac:dyDescent="0.3">
      <c r="A8" s="4"/>
      <c r="B8" s="3"/>
    </row>
    <row r="9" spans="1:2" ht="45" customHeight="1" x14ac:dyDescent="0.3">
      <c r="A9" s="4"/>
      <c r="B9" s="3"/>
    </row>
    <row r="10" spans="1:2" ht="45" customHeight="1" x14ac:dyDescent="0.3">
      <c r="A10" s="4"/>
      <c r="B10" s="3"/>
    </row>
    <row r="11" spans="1:2" ht="45" customHeight="1" x14ac:dyDescent="0.3">
      <c r="A11" s="4"/>
      <c r="B11" s="3"/>
    </row>
    <row r="12" spans="1:2" ht="45" customHeight="1" x14ac:dyDescent="0.3">
      <c r="A12" s="4"/>
      <c r="B12" s="3"/>
    </row>
    <row r="13" spans="1:2" ht="45" customHeight="1" x14ac:dyDescent="0.3">
      <c r="A13" s="4"/>
      <c r="B13" s="3"/>
    </row>
    <row r="14" spans="1:2" ht="45" customHeight="1" x14ac:dyDescent="0.3">
      <c r="A14" s="4"/>
      <c r="B14" s="3"/>
    </row>
    <row r="15" spans="1:2" ht="45" customHeight="1" x14ac:dyDescent="0.3">
      <c r="A15" s="4"/>
      <c r="B15" s="3"/>
    </row>
    <row r="16" spans="1:2" ht="45" customHeight="1" x14ac:dyDescent="0.3">
      <c r="A16" s="4"/>
      <c r="B16" s="3"/>
    </row>
    <row r="17" spans="1:2" ht="45" customHeight="1" x14ac:dyDescent="0.3">
      <c r="A17" s="4"/>
      <c r="B17" s="3"/>
    </row>
    <row r="18" spans="1:2" ht="45" customHeight="1" x14ac:dyDescent="0.3">
      <c r="A18" s="4"/>
      <c r="B18" s="3"/>
    </row>
    <row r="19" spans="1:2" ht="45" customHeight="1" x14ac:dyDescent="0.3">
      <c r="A19" s="4"/>
      <c r="B19" s="3"/>
    </row>
    <row r="20" spans="1:2" ht="45" customHeight="1" x14ac:dyDescent="0.3">
      <c r="A20" s="4"/>
      <c r="B20" s="3"/>
    </row>
    <row r="21" spans="1:2" ht="45" customHeight="1" x14ac:dyDescent="0.3">
      <c r="A21" s="4"/>
      <c r="B21" s="3"/>
    </row>
    <row r="22" spans="1:2" ht="45" customHeight="1" x14ac:dyDescent="0.3">
      <c r="A22" s="4"/>
      <c r="B22" s="3"/>
    </row>
    <row r="23" spans="1:2" ht="45" customHeight="1" x14ac:dyDescent="0.3">
      <c r="A23" s="4"/>
      <c r="B23" s="3"/>
    </row>
    <row r="24" spans="1:2" ht="45" customHeight="1" x14ac:dyDescent="0.3">
      <c r="A24" s="4"/>
      <c r="B24" s="3"/>
    </row>
    <row r="25" spans="1:2" ht="45" customHeight="1" x14ac:dyDescent="0.3">
      <c r="A25" s="4"/>
      <c r="B25" s="3"/>
    </row>
    <row r="26" spans="1:2" ht="45" customHeight="1" x14ac:dyDescent="0.3">
      <c r="A26" s="4"/>
      <c r="B26" s="3"/>
    </row>
    <row r="27" spans="1:2" ht="45" customHeight="1" x14ac:dyDescent="0.3">
      <c r="A27" s="4"/>
      <c r="B27" s="3"/>
    </row>
    <row r="28" spans="1:2" ht="45" customHeight="1" x14ac:dyDescent="0.3">
      <c r="A28" s="4"/>
      <c r="B28" s="3"/>
    </row>
    <row r="29" spans="1:2" ht="45" customHeight="1" x14ac:dyDescent="0.3">
      <c r="A29" s="4"/>
      <c r="B29" s="3"/>
    </row>
    <row r="30" spans="1:2" ht="45" customHeight="1" x14ac:dyDescent="0.3">
      <c r="A30" s="4"/>
      <c r="B30" s="3"/>
    </row>
    <row r="31" spans="1:2" ht="45" customHeight="1" x14ac:dyDescent="0.3">
      <c r="A31" s="4"/>
      <c r="B31" s="3"/>
    </row>
    <row r="32" spans="1:2" ht="45" customHeight="1" x14ac:dyDescent="0.3">
      <c r="A32" s="4"/>
      <c r="B32" s="3"/>
    </row>
    <row r="33" spans="1:2" ht="45" customHeight="1" x14ac:dyDescent="0.3">
      <c r="A33" s="4"/>
      <c r="B33" s="3"/>
    </row>
    <row r="34" spans="1:2" ht="45" customHeight="1" x14ac:dyDescent="0.3">
      <c r="A34" s="4"/>
      <c r="B34" s="3"/>
    </row>
  </sheetData>
  <autoFilter ref="A4:A34" xr:uid="{00000000-0009-0000-0000-000001000000}"/>
  <mergeCells count="2">
    <mergeCell ref="A2:B2"/>
    <mergeCell ref="A1:B1"/>
  </mergeCell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Right="0"/>
    <pageSetUpPr fitToPage="1"/>
  </sheetPr>
  <dimension ref="A1:B34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5" customWidth="1"/>
  </cols>
  <sheetData>
    <row r="1" spans="1:2" ht="28.05" customHeight="1" x14ac:dyDescent="0.3">
      <c r="A1" s="13" t="s">
        <v>193</v>
      </c>
      <c r="B1" s="13"/>
    </row>
    <row r="2" spans="1:2" ht="36" customHeight="1" x14ac:dyDescent="0.3">
      <c r="A2" s="15" t="s">
        <v>194</v>
      </c>
      <c r="B2" s="15"/>
    </row>
    <row r="3" spans="1:2" x14ac:dyDescent="0.3">
      <c r="A3" s="10"/>
      <c r="B3" s="10"/>
    </row>
    <row r="4" spans="1:2" x14ac:dyDescent="0.3">
      <c r="A4" s="1" t="s">
        <v>195</v>
      </c>
      <c r="B4" s="1"/>
    </row>
    <row r="5" spans="1:2" ht="28.05" customHeight="1" x14ac:dyDescent="0.3">
      <c r="A5" s="4"/>
      <c r="B5" s="3"/>
    </row>
    <row r="6" spans="1:2" ht="28.05" customHeight="1" x14ac:dyDescent="0.3">
      <c r="A6" s="4"/>
      <c r="B6" s="3"/>
    </row>
    <row r="7" spans="1:2" ht="28.05" customHeight="1" x14ac:dyDescent="0.3">
      <c r="A7" s="4"/>
      <c r="B7" s="3"/>
    </row>
    <row r="8" spans="1:2" ht="28.05" customHeight="1" x14ac:dyDescent="0.3">
      <c r="A8" s="4"/>
      <c r="B8" s="3"/>
    </row>
    <row r="9" spans="1:2" ht="28.05" customHeight="1" x14ac:dyDescent="0.3">
      <c r="A9" s="4"/>
      <c r="B9" s="3"/>
    </row>
    <row r="10" spans="1:2" ht="28.05" customHeight="1" x14ac:dyDescent="0.3">
      <c r="A10" s="4"/>
      <c r="B10" s="3"/>
    </row>
    <row r="11" spans="1:2" ht="28.05" customHeight="1" x14ac:dyDescent="0.3">
      <c r="A11" s="4"/>
      <c r="B11" s="3"/>
    </row>
    <row r="12" spans="1:2" ht="28.05" customHeight="1" x14ac:dyDescent="0.3">
      <c r="A12" s="4"/>
      <c r="B12" s="3"/>
    </row>
    <row r="13" spans="1:2" ht="28.05" customHeight="1" x14ac:dyDescent="0.3">
      <c r="A13" s="4"/>
      <c r="B13" s="3"/>
    </row>
    <row r="14" spans="1:2" ht="28.05" customHeight="1" x14ac:dyDescent="0.3">
      <c r="A14" s="4"/>
      <c r="B14" s="3"/>
    </row>
    <row r="15" spans="1:2" ht="28.05" customHeight="1" x14ac:dyDescent="0.3">
      <c r="A15" s="4"/>
      <c r="B15" s="3"/>
    </row>
    <row r="16" spans="1:2" ht="28.05" customHeight="1" x14ac:dyDescent="0.3">
      <c r="A16" s="4"/>
      <c r="B16" s="3"/>
    </row>
    <row r="17" spans="1:2" ht="28.05" customHeight="1" x14ac:dyDescent="0.3">
      <c r="A17" s="4"/>
      <c r="B17" s="3"/>
    </row>
    <row r="18" spans="1:2" ht="28.05" customHeight="1" x14ac:dyDescent="0.3">
      <c r="A18" s="4"/>
      <c r="B18" s="3"/>
    </row>
    <row r="19" spans="1:2" ht="28.05" customHeight="1" x14ac:dyDescent="0.3">
      <c r="A19" s="4"/>
      <c r="B19" s="3"/>
    </row>
    <row r="20" spans="1:2" ht="28.05" customHeight="1" x14ac:dyDescent="0.3">
      <c r="A20" s="4"/>
      <c r="B20" s="3"/>
    </row>
    <row r="21" spans="1:2" ht="28.05" customHeight="1" x14ac:dyDescent="0.3">
      <c r="A21" s="4"/>
      <c r="B21" s="3"/>
    </row>
    <row r="22" spans="1:2" ht="28.05" customHeight="1" x14ac:dyDescent="0.3">
      <c r="A22" s="4"/>
      <c r="B22" s="3"/>
    </row>
    <row r="23" spans="1:2" ht="28.05" customHeight="1" x14ac:dyDescent="0.3">
      <c r="A23" s="4"/>
      <c r="B23" s="3"/>
    </row>
    <row r="24" spans="1:2" ht="28.05" customHeight="1" x14ac:dyDescent="0.3">
      <c r="A24" s="4"/>
      <c r="B24" s="3"/>
    </row>
    <row r="25" spans="1:2" ht="28.05" customHeight="1" x14ac:dyDescent="0.3">
      <c r="A25" s="4"/>
      <c r="B25" s="3"/>
    </row>
    <row r="26" spans="1:2" ht="28.05" customHeight="1" x14ac:dyDescent="0.3">
      <c r="A26" s="4"/>
      <c r="B26" s="3"/>
    </row>
    <row r="27" spans="1:2" ht="28.05" customHeight="1" x14ac:dyDescent="0.3">
      <c r="A27" s="4"/>
      <c r="B27" s="3"/>
    </row>
    <row r="28" spans="1:2" ht="28.05" customHeight="1" x14ac:dyDescent="0.3">
      <c r="A28" s="4"/>
      <c r="B28" s="3"/>
    </row>
    <row r="29" spans="1:2" ht="28.05" customHeight="1" x14ac:dyDescent="0.3">
      <c r="A29" s="4"/>
      <c r="B29" s="3"/>
    </row>
    <row r="30" spans="1:2" ht="28.05" customHeight="1" x14ac:dyDescent="0.3">
      <c r="A30" s="4"/>
      <c r="B30" s="3"/>
    </row>
    <row r="31" spans="1:2" ht="28.05" customHeight="1" x14ac:dyDescent="0.3">
      <c r="A31" s="4"/>
      <c r="B31" s="3"/>
    </row>
    <row r="32" spans="1:2" ht="28.05" customHeight="1" x14ac:dyDescent="0.3">
      <c r="A32" s="4"/>
      <c r="B32" s="3"/>
    </row>
    <row r="33" spans="1:2" ht="28.05" customHeight="1" x14ac:dyDescent="0.3">
      <c r="A33" s="4"/>
      <c r="B33" s="3"/>
    </row>
    <row r="34" spans="1:2" ht="28.05" customHeight="1" x14ac:dyDescent="0.3">
      <c r="A34" s="4"/>
      <c r="B34" s="3"/>
    </row>
  </sheetData>
  <autoFilter ref="A4:A34" xr:uid="{00000000-0009-0000-0000-000002000000}"/>
  <mergeCells count="2">
    <mergeCell ref="A2:B2"/>
    <mergeCell ref="A1:B1"/>
  </mergeCells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Right="0"/>
    <pageSetUpPr fitToPage="1"/>
  </sheetPr>
  <dimension ref="A1:H27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30" customWidth="1"/>
    <col min="3" max="3" width="50" customWidth="1"/>
    <col min="4" max="4" width="26" customWidth="1"/>
    <col min="5" max="8" width="22" customWidth="1"/>
  </cols>
  <sheetData>
    <row r="1" spans="1:8" ht="28.05" customHeight="1" x14ac:dyDescent="0.3">
      <c r="A1" s="13" t="s">
        <v>196</v>
      </c>
      <c r="B1" s="13"/>
      <c r="C1" s="13"/>
      <c r="D1" s="13"/>
      <c r="E1" s="13"/>
      <c r="F1" s="13"/>
      <c r="G1" s="13"/>
      <c r="H1" s="13"/>
    </row>
    <row r="2" spans="1:8" ht="36" customHeight="1" x14ac:dyDescent="0.3">
      <c r="A2" s="15" t="s">
        <v>197</v>
      </c>
      <c r="B2" s="15"/>
      <c r="C2" s="15"/>
      <c r="D2" s="15"/>
      <c r="E2" s="15"/>
      <c r="F2" s="15"/>
      <c r="G2" s="15"/>
      <c r="H2" s="15"/>
    </row>
    <row r="3" spans="1:8" x14ac:dyDescent="0.3">
      <c r="A3" s="10"/>
      <c r="B3" s="10"/>
      <c r="C3" s="10"/>
      <c r="D3" s="10"/>
      <c r="E3" s="10"/>
      <c r="F3" s="10"/>
      <c r="G3" s="10"/>
      <c r="H3" s="10"/>
    </row>
    <row r="4" spans="1:8" x14ac:dyDescent="0.3">
      <c r="A4" s="1" t="s">
        <v>198</v>
      </c>
      <c r="B4" s="1" t="s">
        <v>199</v>
      </c>
      <c r="C4" s="1" t="s">
        <v>200</v>
      </c>
      <c r="D4" s="1" t="s">
        <v>201</v>
      </c>
      <c r="E4" s="1" t="s">
        <v>202</v>
      </c>
      <c r="F4" s="1" t="s">
        <v>203</v>
      </c>
      <c r="G4" s="1" t="s">
        <v>204</v>
      </c>
      <c r="H4" s="1" t="s">
        <v>205</v>
      </c>
    </row>
    <row r="5" spans="1:8" x14ac:dyDescent="0.3">
      <c r="A5" s="3">
        <v>1</v>
      </c>
      <c r="B5" s="3" t="s">
        <v>6</v>
      </c>
      <c r="C5" s="9" t="str">
        <f>IF(DATA!B4="","",DATA!B4)</f>
        <v/>
      </c>
      <c r="D5" s="11" t="str">
        <f>IF(DATA!B4="","",DATA!C4&amp;"")</f>
        <v/>
      </c>
      <c r="E5" s="12" t="str">
        <f>IF(C5="","",DATA!$B$41*DATA!$B$53)</f>
        <v/>
      </c>
      <c r="F5" s="12" t="str">
        <f>IF(C5="","",DATA!$B$42*DATA!$B$53)</f>
        <v/>
      </c>
      <c r="G5" s="12" t="str">
        <f>IF(C5="","",DATA!$B$43*DATA!$B$53)</f>
        <v/>
      </c>
      <c r="H5" s="12" t="str">
        <f t="shared" ref="H5:H27" si="0">IF(C5="","",SUM(E5:G5))</f>
        <v/>
      </c>
    </row>
    <row r="6" spans="1:8" x14ac:dyDescent="0.3">
      <c r="A6" s="3">
        <v>2</v>
      </c>
      <c r="B6" s="3" t="s">
        <v>8</v>
      </c>
      <c r="C6" s="9" t="str">
        <f>IF(DATA!B5="","",DATA!B5)</f>
        <v/>
      </c>
      <c r="D6" s="11" t="str">
        <f>IF(DATA!B5="","",DATA!C5&amp;"")</f>
        <v/>
      </c>
      <c r="E6" s="12" t="str">
        <f>IF(C6="","",DATA!$B$41*DATA!$B$53)</f>
        <v/>
      </c>
      <c r="F6" s="12" t="str">
        <f>IF(C6="","",DATA!$B$42*DATA!$B$53)</f>
        <v/>
      </c>
      <c r="G6" s="12" t="str">
        <f>IF(C6="","",DATA!$B$43*DATA!$B$53)</f>
        <v/>
      </c>
      <c r="H6" s="12" t="str">
        <f t="shared" si="0"/>
        <v/>
      </c>
    </row>
    <row r="7" spans="1:8" x14ac:dyDescent="0.3">
      <c r="A7" s="3">
        <v>3</v>
      </c>
      <c r="B7" s="3" t="s">
        <v>9</v>
      </c>
      <c r="C7" s="9" t="str">
        <f>IF(DATA!B6="","",DATA!B6)</f>
        <v/>
      </c>
      <c r="D7" s="11" t="str">
        <f>IF(DATA!B6="","",DATA!C6&amp;"")</f>
        <v/>
      </c>
      <c r="E7" s="12" t="str">
        <f>IF(C7="","",DATA!$B$41*DATA!$B$53)</f>
        <v/>
      </c>
      <c r="F7" s="12" t="str">
        <f>IF(C7="","",DATA!$B$42*DATA!$B$53)</f>
        <v/>
      </c>
      <c r="G7" s="12" t="str">
        <f>IF(C7="","",DATA!$B$43*DATA!$B$53)</f>
        <v/>
      </c>
      <c r="H7" s="12" t="str">
        <f t="shared" si="0"/>
        <v/>
      </c>
    </row>
    <row r="8" spans="1:8" x14ac:dyDescent="0.3">
      <c r="A8" s="3">
        <v>4</v>
      </c>
      <c r="B8" s="3" t="s">
        <v>10</v>
      </c>
      <c r="C8" s="9" t="str">
        <f>IF(DATA!B7="","",DATA!B7)</f>
        <v/>
      </c>
      <c r="D8" s="11" t="str">
        <f>IF(DATA!B7="","",DATA!C7&amp;"")</f>
        <v/>
      </c>
      <c r="E8" s="12" t="str">
        <f>IF(C8="","",DATA!$B$41*DATA!$B$53)</f>
        <v/>
      </c>
      <c r="F8" s="12" t="str">
        <f>IF(C8="","",DATA!$B$42*DATA!$B$53)</f>
        <v/>
      </c>
      <c r="G8" s="12" t="str">
        <f>IF(C8="","",DATA!$B$43*DATA!$B$53)</f>
        <v/>
      </c>
      <c r="H8" s="12" t="str">
        <f t="shared" si="0"/>
        <v/>
      </c>
    </row>
    <row r="9" spans="1:8" x14ac:dyDescent="0.3">
      <c r="A9" s="3">
        <v>5</v>
      </c>
      <c r="B9" s="3" t="s">
        <v>10</v>
      </c>
      <c r="C9" s="9" t="str">
        <f>IF(DATA!B8="","",DATA!B8)</f>
        <v/>
      </c>
      <c r="D9" s="11" t="str">
        <f>IF(DATA!B8="","",DATA!C8&amp;"")</f>
        <v/>
      </c>
      <c r="E9" s="12" t="str">
        <f>IF(C9="","",DATA!$B$41*DATA!$B$53)</f>
        <v/>
      </c>
      <c r="F9" s="12" t="str">
        <f>IF(C9="","",DATA!$B$42*DATA!$B$53)</f>
        <v/>
      </c>
      <c r="G9" s="12" t="str">
        <f>IF(C9="","",DATA!$B$43*DATA!$B$53)</f>
        <v/>
      </c>
      <c r="H9" s="12" t="str">
        <f t="shared" si="0"/>
        <v/>
      </c>
    </row>
    <row r="10" spans="1:8" x14ac:dyDescent="0.3">
      <c r="A10" s="3">
        <v>6</v>
      </c>
      <c r="B10" s="3" t="s">
        <v>10</v>
      </c>
      <c r="C10" s="9" t="str">
        <f>IF(DATA!B9="","",DATA!B9)</f>
        <v/>
      </c>
      <c r="D10" s="11" t="str">
        <f>IF(DATA!B9="","",DATA!C9&amp;"")</f>
        <v/>
      </c>
      <c r="E10" s="12" t="str">
        <f>IF(C10="","",DATA!$B$41*DATA!$B$53)</f>
        <v/>
      </c>
      <c r="F10" s="12" t="str">
        <f>IF(C10="","",DATA!$B$42*DATA!$B$53)</f>
        <v/>
      </c>
      <c r="G10" s="12" t="str">
        <f>IF(C10="","",DATA!$B$43*DATA!$B$53)</f>
        <v/>
      </c>
      <c r="H10" s="12" t="str">
        <f t="shared" si="0"/>
        <v/>
      </c>
    </row>
    <row r="11" spans="1:8" x14ac:dyDescent="0.3">
      <c r="A11" s="3">
        <v>7</v>
      </c>
      <c r="B11" s="3" t="s">
        <v>10</v>
      </c>
      <c r="C11" s="9" t="str">
        <f>IF(DATA!B10="","",DATA!B10)</f>
        <v/>
      </c>
      <c r="D11" s="11" t="str">
        <f>IF(DATA!B10="","",DATA!C10&amp;"")</f>
        <v/>
      </c>
      <c r="E11" s="12" t="str">
        <f>IF(C11="","",DATA!$B$41*DATA!$B$53)</f>
        <v/>
      </c>
      <c r="F11" s="12" t="str">
        <f>IF(C11="","",DATA!$B$42*DATA!$B$53)</f>
        <v/>
      </c>
      <c r="G11" s="12" t="str">
        <f>IF(C11="","",DATA!$B$43*DATA!$B$53)</f>
        <v/>
      </c>
      <c r="H11" s="12" t="str">
        <f t="shared" si="0"/>
        <v/>
      </c>
    </row>
    <row r="12" spans="1:8" x14ac:dyDescent="0.3">
      <c r="A12" s="3">
        <v>8</v>
      </c>
      <c r="B12" s="3" t="s">
        <v>10</v>
      </c>
      <c r="C12" s="9" t="str">
        <f>IF(DATA!B11="","",DATA!B11)</f>
        <v/>
      </c>
      <c r="D12" s="11" t="str">
        <f>IF(DATA!B11="","",DATA!C11&amp;"")</f>
        <v/>
      </c>
      <c r="E12" s="12" t="str">
        <f>IF(C12="","",DATA!$B$41*DATA!$B$53)</f>
        <v/>
      </c>
      <c r="F12" s="12" t="str">
        <f>IF(C12="","",DATA!$B$42*DATA!$B$53)</f>
        <v/>
      </c>
      <c r="G12" s="12" t="str">
        <f>IF(C12="","",DATA!$B$43*DATA!$B$53)</f>
        <v/>
      </c>
      <c r="H12" s="12" t="str">
        <f t="shared" si="0"/>
        <v/>
      </c>
    </row>
    <row r="13" spans="1:8" x14ac:dyDescent="0.3">
      <c r="A13" s="3">
        <v>9</v>
      </c>
      <c r="B13" s="3" t="s">
        <v>10</v>
      </c>
      <c r="C13" s="9" t="str">
        <f>IF(DATA!B12="","",DATA!B12)</f>
        <v/>
      </c>
      <c r="D13" s="11" t="str">
        <f>IF(DATA!B12="","",DATA!C12&amp;"")</f>
        <v/>
      </c>
      <c r="E13" s="12" t="str">
        <f>IF(C13="","",DATA!$B$41*DATA!$B$53)</f>
        <v/>
      </c>
      <c r="F13" s="12" t="str">
        <f>IF(C13="","",DATA!$B$42*DATA!$B$53)</f>
        <v/>
      </c>
      <c r="G13" s="12" t="str">
        <f>IF(C13="","",DATA!$B$43*DATA!$B$53)</f>
        <v/>
      </c>
      <c r="H13" s="12" t="str">
        <f t="shared" si="0"/>
        <v/>
      </c>
    </row>
    <row r="14" spans="1:8" x14ac:dyDescent="0.3">
      <c r="A14" s="3">
        <v>10</v>
      </c>
      <c r="B14" s="3" t="s">
        <v>10</v>
      </c>
      <c r="C14" s="9" t="str">
        <f>IF(DATA!B13="","",DATA!B13)</f>
        <v/>
      </c>
      <c r="D14" s="11" t="str">
        <f>IF(DATA!B13="","",DATA!C13&amp;"")</f>
        <v/>
      </c>
      <c r="E14" s="12" t="str">
        <f>IF(C14="","",DATA!$B$41*DATA!$B$53)</f>
        <v/>
      </c>
      <c r="F14" s="12" t="str">
        <f>IF(C14="","",DATA!$B$42*DATA!$B$53)</f>
        <v/>
      </c>
      <c r="G14" s="12" t="str">
        <f>IF(C14="","",DATA!$B$43*DATA!$B$53)</f>
        <v/>
      </c>
      <c r="H14" s="12" t="str">
        <f t="shared" si="0"/>
        <v/>
      </c>
    </row>
    <row r="15" spans="1:8" x14ac:dyDescent="0.3">
      <c r="A15" s="3">
        <v>11</v>
      </c>
      <c r="B15" s="3" t="s">
        <v>10</v>
      </c>
      <c r="C15" s="9" t="str">
        <f>IF(DATA!B14="","",DATA!B14)</f>
        <v/>
      </c>
      <c r="D15" s="11" t="str">
        <f>IF(DATA!B14="","",DATA!C14&amp;"")</f>
        <v/>
      </c>
      <c r="E15" s="12" t="str">
        <f>IF(C15="","",DATA!$B$41*DATA!$B$53)</f>
        <v/>
      </c>
      <c r="F15" s="12" t="str">
        <f>IF(C15="","",DATA!$B$42*DATA!$B$53)</f>
        <v/>
      </c>
      <c r="G15" s="12" t="str">
        <f>IF(C15="","",DATA!$B$43*DATA!$B$53)</f>
        <v/>
      </c>
      <c r="H15" s="12" t="str">
        <f t="shared" si="0"/>
        <v/>
      </c>
    </row>
    <row r="16" spans="1:8" x14ac:dyDescent="0.3">
      <c r="A16" s="3">
        <v>12</v>
      </c>
      <c r="B16" s="3" t="s">
        <v>10</v>
      </c>
      <c r="C16" s="9" t="str">
        <f>IF(DATA!B15="","",DATA!B15)</f>
        <v/>
      </c>
      <c r="D16" s="11" t="str">
        <f>IF(DATA!B15="","",DATA!C15&amp;"")</f>
        <v/>
      </c>
      <c r="E16" s="12" t="str">
        <f>IF(C16="","",DATA!$B$41*DATA!$B$53)</f>
        <v/>
      </c>
      <c r="F16" s="12" t="str">
        <f>IF(C16="","",DATA!$B$42*DATA!$B$53)</f>
        <v/>
      </c>
      <c r="G16" s="12" t="str">
        <f>IF(C16="","",DATA!$B$43*DATA!$B$53)</f>
        <v/>
      </c>
      <c r="H16" s="12" t="str">
        <f t="shared" si="0"/>
        <v/>
      </c>
    </row>
    <row r="17" spans="1:8" x14ac:dyDescent="0.3">
      <c r="A17" s="3">
        <v>13</v>
      </c>
      <c r="B17" s="3" t="s">
        <v>10</v>
      </c>
      <c r="C17" s="9" t="str">
        <f>IF(DATA!B16="","",DATA!B16)</f>
        <v/>
      </c>
      <c r="D17" s="11" t="str">
        <f>IF(DATA!B16="","",DATA!C16&amp;"")</f>
        <v/>
      </c>
      <c r="E17" s="12" t="str">
        <f>IF(C17="","",DATA!$B$41*DATA!$B$53)</f>
        <v/>
      </c>
      <c r="F17" s="12" t="str">
        <f>IF(C17="","",DATA!$B$42*DATA!$B$53)</f>
        <v/>
      </c>
      <c r="G17" s="12" t="str">
        <f>IF(C17="","",DATA!$B$43*DATA!$B$53)</f>
        <v/>
      </c>
      <c r="H17" s="12" t="str">
        <f t="shared" si="0"/>
        <v/>
      </c>
    </row>
    <row r="18" spans="1:8" x14ac:dyDescent="0.3">
      <c r="A18" s="3">
        <v>14</v>
      </c>
      <c r="B18" s="3" t="s">
        <v>10</v>
      </c>
      <c r="C18" s="9" t="str">
        <f>IF(DATA!B17="","",DATA!B17)</f>
        <v/>
      </c>
      <c r="D18" s="11" t="str">
        <f>IF(DATA!B17="","",DATA!C17&amp;"")</f>
        <v/>
      </c>
      <c r="E18" s="12" t="str">
        <f>IF(C18="","",DATA!$B$41*DATA!$B$53)</f>
        <v/>
      </c>
      <c r="F18" s="12" t="str">
        <f>IF(C18="","",DATA!$B$42*DATA!$B$53)</f>
        <v/>
      </c>
      <c r="G18" s="12" t="str">
        <f>IF(C18="","",DATA!$B$43*DATA!$B$53)</f>
        <v/>
      </c>
      <c r="H18" s="12" t="str">
        <f t="shared" si="0"/>
        <v/>
      </c>
    </row>
    <row r="19" spans="1:8" x14ac:dyDescent="0.3">
      <c r="A19" s="3">
        <v>15</v>
      </c>
      <c r="B19" s="3" t="s">
        <v>10</v>
      </c>
      <c r="C19" s="9" t="str">
        <f>IF(DATA!B18="","",DATA!B18)</f>
        <v/>
      </c>
      <c r="D19" s="11" t="str">
        <f>IF(DATA!B18="","",DATA!C18&amp;"")</f>
        <v/>
      </c>
      <c r="E19" s="12" t="str">
        <f>IF(C19="","",DATA!$B$41*DATA!$B$53)</f>
        <v/>
      </c>
      <c r="F19" s="12" t="str">
        <f>IF(C19="","",DATA!$B$42*DATA!$B$53)</f>
        <v/>
      </c>
      <c r="G19" s="12" t="str">
        <f>IF(C19="","",DATA!$B$43*DATA!$B$53)</f>
        <v/>
      </c>
      <c r="H19" s="12" t="str">
        <f t="shared" si="0"/>
        <v/>
      </c>
    </row>
    <row r="20" spans="1:8" x14ac:dyDescent="0.3">
      <c r="A20" s="3">
        <v>16</v>
      </c>
      <c r="B20" s="3" t="s">
        <v>10</v>
      </c>
      <c r="C20" s="9" t="str">
        <f>IF(DATA!B19="","",DATA!B19)</f>
        <v/>
      </c>
      <c r="D20" s="11" t="str">
        <f>IF(DATA!B19="","",DATA!C19&amp;"")</f>
        <v/>
      </c>
      <c r="E20" s="12" t="str">
        <f>IF(C20="","",DATA!$B$41*DATA!$B$53)</f>
        <v/>
      </c>
      <c r="F20" s="12" t="str">
        <f>IF(C20="","",DATA!$B$42*DATA!$B$53)</f>
        <v/>
      </c>
      <c r="G20" s="12" t="str">
        <f>IF(C20="","",DATA!$B$43*DATA!$B$53)</f>
        <v/>
      </c>
      <c r="H20" s="12" t="str">
        <f t="shared" si="0"/>
        <v/>
      </c>
    </row>
    <row r="21" spans="1:8" x14ac:dyDescent="0.3">
      <c r="A21" s="3">
        <v>17</v>
      </c>
      <c r="B21" s="3" t="s">
        <v>10</v>
      </c>
      <c r="C21" s="9" t="str">
        <f>IF(DATA!B20="","",DATA!B20)</f>
        <v/>
      </c>
      <c r="D21" s="11" t="str">
        <f>IF(DATA!B20="","",DATA!C20&amp;"")</f>
        <v/>
      </c>
      <c r="E21" s="12" t="str">
        <f>IF(C21="","",DATA!$B$41*DATA!$B$53)</f>
        <v/>
      </c>
      <c r="F21" s="12" t="str">
        <f>IF(C21="","",DATA!$B$42*DATA!$B$53)</f>
        <v/>
      </c>
      <c r="G21" s="12" t="str">
        <f>IF(C21="","",DATA!$B$43*DATA!$B$53)</f>
        <v/>
      </c>
      <c r="H21" s="12" t="str">
        <f t="shared" si="0"/>
        <v/>
      </c>
    </row>
    <row r="22" spans="1:8" x14ac:dyDescent="0.3">
      <c r="A22" s="3">
        <v>18</v>
      </c>
      <c r="B22" s="3" t="s">
        <v>10</v>
      </c>
      <c r="C22" s="9" t="str">
        <f>IF(DATA!B21="","",DATA!B21)</f>
        <v/>
      </c>
      <c r="D22" s="11" t="str">
        <f>IF(DATA!B21="","",DATA!C21&amp;"")</f>
        <v/>
      </c>
      <c r="E22" s="12" t="str">
        <f>IF(C22="","",DATA!$B$41*DATA!$B$53)</f>
        <v/>
      </c>
      <c r="F22" s="12" t="str">
        <f>IF(C22="","",DATA!$B$42*DATA!$B$53)</f>
        <v/>
      </c>
      <c r="G22" s="12" t="str">
        <f>IF(C22="","",DATA!$B$43*DATA!$B$53)</f>
        <v/>
      </c>
      <c r="H22" s="12" t="str">
        <f t="shared" si="0"/>
        <v/>
      </c>
    </row>
    <row r="23" spans="1:8" x14ac:dyDescent="0.3">
      <c r="A23" s="3">
        <v>19</v>
      </c>
      <c r="B23" s="3" t="s">
        <v>10</v>
      </c>
      <c r="C23" s="9" t="str">
        <f>IF(DATA!B22="","",DATA!B22)</f>
        <v/>
      </c>
      <c r="D23" s="11" t="str">
        <f>IF(DATA!B22="","",DATA!C22&amp;"")</f>
        <v/>
      </c>
      <c r="E23" s="12" t="str">
        <f>IF(C23="","",DATA!$B$41*DATA!$B$53)</f>
        <v/>
      </c>
      <c r="F23" s="12" t="str">
        <f>IF(C23="","",DATA!$B$42*DATA!$B$53)</f>
        <v/>
      </c>
      <c r="G23" s="12" t="str">
        <f>IF(C23="","",DATA!$B$43*DATA!$B$53)</f>
        <v/>
      </c>
      <c r="H23" s="12" t="str">
        <f t="shared" si="0"/>
        <v/>
      </c>
    </row>
    <row r="24" spans="1:8" x14ac:dyDescent="0.3">
      <c r="A24" s="3">
        <v>20</v>
      </c>
      <c r="B24" s="3" t="s">
        <v>10</v>
      </c>
      <c r="C24" s="9" t="str">
        <f>IF(DATA!B23="","",DATA!B23)</f>
        <v/>
      </c>
      <c r="D24" s="11" t="str">
        <f>IF(DATA!B23="","",DATA!C23&amp;"")</f>
        <v/>
      </c>
      <c r="E24" s="12" t="str">
        <f>IF(C24="","",DATA!$B$41*DATA!$B$53)</f>
        <v/>
      </c>
      <c r="F24" s="12" t="str">
        <f>IF(C24="","",DATA!$B$42*DATA!$B$53)</f>
        <v/>
      </c>
      <c r="G24" s="12" t="str">
        <f>IF(C24="","",DATA!$B$43*DATA!$B$53)</f>
        <v/>
      </c>
      <c r="H24" s="12" t="str">
        <f t="shared" si="0"/>
        <v/>
      </c>
    </row>
    <row r="25" spans="1:8" x14ac:dyDescent="0.3">
      <c r="A25" s="3">
        <v>21</v>
      </c>
      <c r="B25" s="3" t="s">
        <v>10</v>
      </c>
      <c r="C25" s="9" t="str">
        <f>IF(DATA!B24="","",DATA!B24)</f>
        <v/>
      </c>
      <c r="D25" s="11" t="str">
        <f>IF(DATA!B24="","",DATA!C24&amp;"")</f>
        <v/>
      </c>
      <c r="E25" s="12" t="str">
        <f>IF(C25="","",DATA!$B$41*DATA!$B$53)</f>
        <v/>
      </c>
      <c r="F25" s="12" t="str">
        <f>IF(C25="","",DATA!$B$42*DATA!$B$53)</f>
        <v/>
      </c>
      <c r="G25" s="12" t="str">
        <f>IF(C25="","",DATA!$B$43*DATA!$B$53)</f>
        <v/>
      </c>
      <c r="H25" s="12" t="str">
        <f t="shared" si="0"/>
        <v/>
      </c>
    </row>
    <row r="26" spans="1:8" x14ac:dyDescent="0.3">
      <c r="A26" s="3">
        <v>22</v>
      </c>
      <c r="B26" s="3" t="s">
        <v>10</v>
      </c>
      <c r="C26" s="9" t="str">
        <f>IF(DATA!B25="","",DATA!B25)</f>
        <v/>
      </c>
      <c r="D26" s="11" t="str">
        <f>IF(DATA!B25="","",DATA!C25&amp;"")</f>
        <v/>
      </c>
      <c r="E26" s="12" t="str">
        <f>IF(C26="","",DATA!$B$41*DATA!$B$53)</f>
        <v/>
      </c>
      <c r="F26" s="12" t="str">
        <f>IF(C26="","",DATA!$B$42*DATA!$B$53)</f>
        <v/>
      </c>
      <c r="G26" s="12" t="str">
        <f>IF(C26="","",DATA!$B$43*DATA!$B$53)</f>
        <v/>
      </c>
      <c r="H26" s="12" t="str">
        <f t="shared" si="0"/>
        <v/>
      </c>
    </row>
    <row r="27" spans="1:8" x14ac:dyDescent="0.3">
      <c r="A27" s="3">
        <v>23</v>
      </c>
      <c r="B27" s="3" t="s">
        <v>10</v>
      </c>
      <c r="C27" s="9" t="str">
        <f>IF(DATA!B26="","",DATA!B26)</f>
        <v/>
      </c>
      <c r="D27" s="11" t="str">
        <f>IF(DATA!B26="","",DATA!C26&amp;"")</f>
        <v/>
      </c>
      <c r="E27" s="12" t="str">
        <f>IF(C27="","",DATA!$B$41*DATA!$B$53)</f>
        <v/>
      </c>
      <c r="F27" s="12" t="str">
        <f>IF(C27="","",DATA!$B$42*DATA!$B$53)</f>
        <v/>
      </c>
      <c r="G27" s="12" t="str">
        <f>IF(C27="","",DATA!$B$43*DATA!$B$53)</f>
        <v/>
      </c>
      <c r="H27" s="12" t="str">
        <f t="shared" si="0"/>
        <v/>
      </c>
    </row>
  </sheetData>
  <mergeCells count="2">
    <mergeCell ref="A2:H2"/>
    <mergeCell ref="A1:H1"/>
  </mergeCells>
  <pageMargins left="0.75" right="0.75" top="1" bottom="1" header="0.5" footer="0.5"/>
  <pageSetup paperSize="9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DATA</vt:lpstr>
      <vt:lpstr>IHP</vt:lpstr>
      <vt:lpstr>TEMBUSAN</vt:lpstr>
      <vt:lpstr>JAM_TIM</vt:lpstr>
      <vt:lpstr>DATA!Print_Area</vt:lpstr>
      <vt:lpstr>IHP!Print_Titles</vt:lpstr>
      <vt:lpstr>JAM_TIM!Print_Titles</vt:lpstr>
      <vt:lpstr>TEMBUSAN!Print_Titles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ILMAN FAHMI</cp:lastModifiedBy>
  <dcterms:created xsi:type="dcterms:W3CDTF">2026-10-29T14:23:53Z</dcterms:created>
  <dcterms:modified xsi:type="dcterms:W3CDTF">2026-10-29T14:23:55Z</dcterms:modified>
</cp:coreProperties>
</file>